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riables" sheetId="1" r:id="rId1"/>
    <sheet name="Liens" sheetId="2" r:id="rId2"/>
    <sheet name="Données - Isolants" sheetId="3" r:id="rId3"/>
    <sheet name="Données - Abaque grue" sheetId="4" r:id="rId4"/>
    <sheet name="Données - Données isolant" sheetId="5" r:id="rId5"/>
    <sheet name="Fonctions" sheetId="6" r:id="rId6"/>
    <sheet name="Projet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Data>
    <row r="1">
      <c r="A1" t="str">
        <v>ID</v>
      </c>
      <c r="B1" t="str">
        <v>Nom de la variable</v>
      </c>
      <c r="C1" t="str">
        <v>Unité</v>
      </c>
      <c r="D1" t="str">
        <v>Valeur (hypothèse)</v>
      </c>
      <c r="E1" t="str">
        <v>Incertitude (±)</v>
      </c>
      <c r="F1" t="str">
        <v>Valeur calculée (import)</v>
      </c>
      <c r="G1" t="str">
        <v>Formule (CLD, ID variables)</v>
      </c>
      <c r="H1" t="str">
        <v>Formule (Excel, cellules)</v>
      </c>
      <c r="I1" t="str">
        <v>Formule (limite min)</v>
      </c>
      <c r="J1" t="str">
        <v>Formule (limite max)</v>
      </c>
      <c r="K1" t="str">
        <v>Limite min</v>
      </c>
      <c r="L1" t="str">
        <v>Limite max</v>
      </c>
      <c r="M1" t="str">
        <v>Force (Faible/Moyenne/Élevée)</v>
      </c>
      <c r="N1" t="str">
        <v>Tag / Catégorie</v>
      </c>
      <c r="O1" t="str">
        <v>Description</v>
      </c>
      <c r="P1" t="str">
        <v>Indication particulière / délai</v>
      </c>
      <c r="Q1" t="str">
        <v>Position X</v>
      </c>
      <c r="R1" t="str">
        <v>Position Y</v>
      </c>
    </row>
    <row r="2">
      <c r="A2" t="str">
        <v>V1</v>
      </c>
      <c r="B2" t="str">
        <v>Attractivité du matériau</v>
      </c>
      <c r="C2" t="str">
        <v>ratio (sans unité)</v>
      </c>
      <c r="D2">
        <v>0.6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Élevée</v>
      </c>
      <c r="N2" t="str">
        <v>Résultats / Indicateurs</v>
      </c>
      <c r="O2" t="str">
        <v/>
      </c>
      <c r="P2" t="str">
        <v/>
      </c>
      <c r="Q2">
        <v>1374</v>
      </c>
      <c r="R2">
        <v>1139</v>
      </c>
    </row>
    <row r="3">
      <c r="A3" t="str">
        <v>V2</v>
      </c>
      <c r="B3" t="str">
        <v>Cadence de pose FOB</v>
      </c>
      <c r="C3" t="str">
        <v>FOB/h</v>
      </c>
      <c r="D3">
        <v>10</v>
      </c>
      <c r="E3" t="str">
        <v/>
      </c>
      <c r="F3" t="str">
        <v/>
      </c>
      <c r="G3" t="str">
        <v>MIN(arrondi.inf(V19,0)*V27/V89,1/V119)</v>
      </c>
      <c r="H3">
        <f>MIN(arrondi.inf(D17,0)*D23/D63,1/D93)</f>
      </c>
      <c r="I3" t="str">
        <v/>
      </c>
      <c r="J3" t="str">
        <v/>
      </c>
      <c r="K3">
        <v>1</v>
      </c>
      <c r="L3" t="str">
        <v/>
      </c>
      <c r="M3" t="str">
        <v>Moyenne</v>
      </c>
      <c r="N3" t="str">
        <v>Chantier / Pose</v>
      </c>
      <c r="O3" t="str">
        <v/>
      </c>
      <c r="P3" t="str">
        <v/>
      </c>
      <c r="Q3">
        <v>1255</v>
      </c>
      <c r="R3">
        <v>371</v>
      </c>
    </row>
    <row r="4">
      <c r="A4" t="str">
        <v>V3</v>
      </c>
      <c r="B4" t="str">
        <v>Cadence production 1 FOB</v>
      </c>
      <c r="C4" t="str">
        <v>h/FOB</v>
      </c>
      <c r="D4">
        <v>4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Élevée</v>
      </c>
      <c r="N4" t="str">
        <v>Production atelier</v>
      </c>
      <c r="O4" t="str">
        <v/>
      </c>
      <c r="P4" t="str">
        <v/>
      </c>
      <c r="Q4">
        <v>1147</v>
      </c>
      <c r="R4">
        <v>694</v>
      </c>
    </row>
    <row r="5">
      <c r="A5" t="str">
        <v>V6</v>
      </c>
      <c r="B5" t="str">
        <v>Coût de manutention 1 FOB</v>
      </c>
      <c r="C5" t="str">
        <v>€/FOB</v>
      </c>
      <c r="D5">
        <v>200</v>
      </c>
      <c r="E5" t="str">
        <v/>
      </c>
      <c r="F5" t="str">
        <v/>
      </c>
      <c r="G5" t="str">
        <v>ROUNDUP(V14,0)*V93*V29*V99/V26</v>
      </c>
      <c r="H5">
        <f>ROUNDUP(D13,0)*D67*D25*D73/D22</f>
      </c>
      <c r="I5" t="str">
        <v/>
      </c>
      <c r="J5" t="str">
        <v/>
      </c>
      <c r="K5" t="str">
        <v/>
      </c>
      <c r="L5" t="str">
        <v/>
      </c>
      <c r="M5" t="str">
        <v>Élevée</v>
      </c>
      <c r="N5" t="str">
        <v>Coûts</v>
      </c>
      <c r="O5" t="str">
        <v/>
      </c>
      <c r="P5" t="str">
        <v/>
      </c>
      <c r="Q5">
        <v>1040</v>
      </c>
      <c r="R5">
        <v>953</v>
      </c>
    </row>
    <row r="6">
      <c r="A6" t="str">
        <v>V7</v>
      </c>
      <c r="B6" t="str">
        <v>Coût de production 1 FOB</v>
      </c>
      <c r="C6" t="str">
        <v>€/FOB</v>
      </c>
      <c r="D6">
        <v>1100</v>
      </c>
      <c r="E6" t="str">
        <v/>
      </c>
      <c r="F6" t="str">
        <v/>
      </c>
      <c r="G6" t="str">
        <v>V30*(V41+V116*V17*10^-3)+V24/V45+V10+V97+V99*V93/V3</v>
      </c>
      <c r="H6">
        <f>D26*(D35+D90*D16*10^-3)+D20/D37+D9+D71+D73*D67/D4</f>
      </c>
      <c r="I6" t="str">
        <v/>
      </c>
      <c r="J6" t="str">
        <v/>
      </c>
      <c r="K6" t="str">
        <v/>
      </c>
      <c r="L6" t="str">
        <v/>
      </c>
      <c r="M6" t="str">
        <v>Moyenne</v>
      </c>
      <c r="N6" t="str">
        <v>Coûts</v>
      </c>
      <c r="O6" t="str">
        <v/>
      </c>
      <c r="P6" t="str">
        <v/>
      </c>
      <c r="Q6">
        <v>482</v>
      </c>
      <c r="R6">
        <v>890</v>
      </c>
    </row>
    <row r="7">
      <c r="A7" t="str">
        <v>V8</v>
      </c>
      <c r="B7" t="str">
        <v>Coût de revient cumulé 1 FOB</v>
      </c>
      <c r="C7" t="str">
        <v>€/FOB</v>
      </c>
      <c r="D7">
        <v>850</v>
      </c>
      <c r="E7" t="str">
        <v/>
      </c>
      <c r="F7" t="str">
        <v/>
      </c>
      <c r="G7" t="str">
        <v>V7+V9+V6</v>
      </c>
      <c r="H7">
        <f>D6+D8+D5</f>
      </c>
      <c r="I7" t="str">
        <v/>
      </c>
      <c r="J7" t="str">
        <v/>
      </c>
      <c r="K7" t="str">
        <v/>
      </c>
      <c r="L7" t="str">
        <v/>
      </c>
      <c r="M7" t="str">
        <v>Élevée</v>
      </c>
      <c r="N7" t="str">
        <v>Coûts</v>
      </c>
      <c r="O7" t="str">
        <v/>
      </c>
      <c r="P7" t="str">
        <v/>
      </c>
      <c r="Q7">
        <v>749</v>
      </c>
      <c r="R7">
        <v>1328</v>
      </c>
    </row>
    <row r="8">
      <c r="A8" t="str">
        <v>V9</v>
      </c>
      <c r="B8" t="str">
        <v>Coût du transport 1 FOB</v>
      </c>
      <c r="C8" t="str">
        <v>€/FOB</v>
      </c>
      <c r="D8">
        <v>200</v>
      </c>
      <c r="E8" t="str">
        <v/>
      </c>
      <c r="F8" t="str">
        <v/>
      </c>
      <c r="G8" t="str">
        <v>(V50*V93*V25+V25*V19*V91*2*V127)/(V19*V27)+(V25*V126/V125)/V40</v>
      </c>
      <c r="H8">
        <f>(D39*D67*D21+D21*D17*D65*2*D101)/(D17*D23)+(D21*D100/D99)/D34</f>
      </c>
      <c r="I8" t="str">
        <v/>
      </c>
      <c r="J8" t="str">
        <v/>
      </c>
      <c r="K8" t="str">
        <v/>
      </c>
      <c r="L8" t="str">
        <v/>
      </c>
      <c r="M8" t="str">
        <v>Élevée</v>
      </c>
      <c r="N8" t="str">
        <v>Coûts</v>
      </c>
      <c r="O8" t="str">
        <v>soucis d'arrondi sur fréquence de transport=&gt; qui coute le moins cher entre chauffeur ou opérateur sur site...</v>
      </c>
      <c r="P8" t="str">
        <v/>
      </c>
      <c r="Q8">
        <v>679</v>
      </c>
      <c r="R8">
        <v>928</v>
      </c>
    </row>
    <row r="9">
      <c r="A9" t="str">
        <v>V10</v>
      </c>
      <c r="B9" t="str">
        <v>Coût EPI/FOB</v>
      </c>
      <c r="C9" t="str">
        <v>€/FOB</v>
      </c>
      <c r="D9">
        <v>10</v>
      </c>
      <c r="E9" t="str">
        <v/>
      </c>
      <c r="F9" t="str">
        <v/>
      </c>
      <c r="G9" t="str">
        <v>(V47*V28*227*V93/V124)/V40</v>
      </c>
      <c r="H9">
        <f>(D38*D24*227*D67/D98)/D34</f>
      </c>
      <c r="I9" t="str">
        <v/>
      </c>
      <c r="J9" t="str">
        <v/>
      </c>
      <c r="K9" t="str">
        <v/>
      </c>
      <c r="L9" t="str">
        <v/>
      </c>
      <c r="M9" t="str">
        <v>Moyenne</v>
      </c>
      <c r="N9" t="str">
        <v>Dangerosité de la mise en oeuvre</v>
      </c>
      <c r="O9" t="str">
        <v/>
      </c>
      <c r="P9" t="str">
        <v/>
      </c>
      <c r="Q9">
        <v>661</v>
      </c>
      <c r="R9">
        <v>608</v>
      </c>
    </row>
    <row r="10">
      <c r="A10" t="str">
        <v>V11</v>
      </c>
      <c r="B10" t="str">
        <v>Débit de mise en oeuvre</v>
      </c>
      <c r="C10" t="str">
        <v>m²/heure</v>
      </c>
      <c r="D10">
        <v>8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Moyenne</v>
      </c>
      <c r="N10" t="str">
        <v>Chantier / Pose</v>
      </c>
      <c r="O10" t="str">
        <v/>
      </c>
      <c r="P10" t="str">
        <v/>
      </c>
      <c r="Q10">
        <v>1391</v>
      </c>
      <c r="R10">
        <v>946</v>
      </c>
    </row>
    <row r="11">
      <c r="A11" t="str">
        <v>V12</v>
      </c>
      <c r="B11" t="str">
        <v>Densité de l'isolant</v>
      </c>
      <c r="C11" t="str">
        <v>kg/m³</v>
      </c>
      <c r="D11">
        <v>35</v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Moyenne</v>
      </c>
      <c r="N11" t="str">
        <v>Caractéristique de l'isolant</v>
      </c>
      <c r="O11" t="str">
        <v/>
      </c>
      <c r="P11" t="str">
        <v/>
      </c>
      <c r="Q11">
        <v>862</v>
      </c>
      <c r="R11">
        <v>907</v>
      </c>
    </row>
    <row r="12">
      <c r="A12" t="str">
        <v>V13</v>
      </c>
      <c r="B12" t="str">
        <v>Disponibilité de l'isolant</v>
      </c>
      <c r="C12" t="str">
        <v>%</v>
      </c>
      <c r="D12">
        <v>90</v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Élevée</v>
      </c>
      <c r="N12" t="str">
        <v>Caractéristique de l'isolant</v>
      </c>
      <c r="O12" t="str">
        <v/>
      </c>
      <c r="P12" t="str">
        <v/>
      </c>
      <c r="Q12">
        <v>267</v>
      </c>
      <c r="R12">
        <v>846</v>
      </c>
    </row>
    <row r="13">
      <c r="A13" t="str">
        <v>V14</v>
      </c>
      <c r="B13" t="str">
        <v>Durée de chantier</v>
      </c>
      <c r="C13" t="str">
        <v>jours</v>
      </c>
      <c r="D13">
        <v>4</v>
      </c>
      <c r="E13" t="str">
        <v/>
      </c>
      <c r="F13" t="str">
        <v/>
      </c>
      <c r="G13" t="str">
        <v>(1+V87/227)*(V26/V2+V38*V26)/V93</v>
      </c>
      <c r="H13">
        <f>(1+D62/227)*(D22/D3+D32*D22)/D67</f>
      </c>
      <c r="I13" t="str">
        <v/>
      </c>
      <c r="J13" t="str">
        <v/>
      </c>
      <c r="K13" t="str">
        <v/>
      </c>
      <c r="L13" t="str">
        <v/>
      </c>
      <c r="M13" t="str">
        <v>Moyenne</v>
      </c>
      <c r="N13" t="str">
        <v>Chantier / Pose</v>
      </c>
      <c r="O13" t="str">
        <v/>
      </c>
      <c r="P13" t="str">
        <v/>
      </c>
      <c r="Q13">
        <v>1348</v>
      </c>
      <c r="R13">
        <v>737</v>
      </c>
    </row>
    <row r="14">
      <c r="A14" t="str">
        <v>V15</v>
      </c>
      <c r="B14" t="str">
        <v>Emission carbone cumulée 1 FOB</v>
      </c>
      <c r="C14" t="str">
        <v>kg CO2e</v>
      </c>
      <c r="D14">
        <v>5</v>
      </c>
      <c r="E14" t="str">
        <v/>
      </c>
      <c r="F14" t="str">
        <v/>
      </c>
      <c r="G14" t="str">
        <v>V16*(V52-V107+V116)/(V17*10^-3)</v>
      </c>
      <c r="H14">
        <f>D15*(D40-D81+D90)/(D16*10^-3)</f>
      </c>
      <c r="I14" t="str">
        <v/>
      </c>
      <c r="J14" t="str">
        <v/>
      </c>
      <c r="K14" t="str">
        <v/>
      </c>
      <c r="L14" t="str">
        <v/>
      </c>
      <c r="M14" t="str">
        <v>Élevée</v>
      </c>
      <c r="N14" t="str">
        <v>Carbone &amp; Déchets</v>
      </c>
      <c r="O14" t="str">
        <v/>
      </c>
      <c r="P14" t="str">
        <v/>
      </c>
      <c r="Q14">
        <v>312</v>
      </c>
      <c r="R14">
        <v>513</v>
      </c>
    </row>
    <row r="15">
      <c r="A15" t="str">
        <v>V16</v>
      </c>
      <c r="B15" t="str">
        <v>Impact carbone de l'isolant</v>
      </c>
      <c r="C15" t="str">
        <v>kg de CO2 équiv./m²</v>
      </c>
      <c r="D15">
        <v>1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Élevée</v>
      </c>
      <c r="N15" t="str">
        <v>Caractéristique de l'isolant</v>
      </c>
      <c r="O15" t="str">
        <v/>
      </c>
      <c r="P15" t="str">
        <v/>
      </c>
      <c r="Q15">
        <v>417</v>
      </c>
      <c r="R15">
        <v>700</v>
      </c>
    </row>
    <row r="16">
      <c r="A16" t="str">
        <v>V17</v>
      </c>
      <c r="B16" t="str">
        <v>Epaisseur d'isolant/ossature</v>
      </c>
      <c r="C16" t="str">
        <v>mm</v>
      </c>
      <c r="D16">
        <v>160</v>
      </c>
      <c r="E16" t="str">
        <v/>
      </c>
      <c r="F16" t="str">
        <v/>
      </c>
      <c r="G16" t="str">
        <v>V115*V114*10^3</v>
      </c>
      <c r="H16">
        <f>D89*D88*10^3</f>
      </c>
      <c r="I16" t="str">
        <v/>
      </c>
      <c r="J16" t="str">
        <v/>
      </c>
      <c r="K16">
        <v>40</v>
      </c>
      <c r="L16">
        <v>800</v>
      </c>
      <c r="M16" t="str">
        <v>Élevée</v>
      </c>
      <c r="N16" t="str">
        <v>Caractéristique de l'isolant</v>
      </c>
      <c r="O16" t="str">
        <v/>
      </c>
      <c r="P16" t="str">
        <v/>
      </c>
      <c r="Q16">
        <v>99</v>
      </c>
      <c r="R16">
        <v>525</v>
      </c>
    </row>
    <row r="17">
      <c r="A17" t="str">
        <v>V19</v>
      </c>
      <c r="B17" t="str">
        <v>Fréquence de transport</v>
      </c>
      <c r="C17" t="str">
        <v>trajets/jour</v>
      </c>
      <c r="D17">
        <v>2</v>
      </c>
      <c r="E17" t="str">
        <v/>
      </c>
      <c r="F17" t="str">
        <v/>
      </c>
      <c r="G17" t="str">
        <v>V2*V93/V27</v>
      </c>
      <c r="H17">
        <f>D3*D67/D23</f>
      </c>
      <c r="I17" t="str">
        <v>1</v>
      </c>
      <c r="J17" t="str">
        <v/>
      </c>
      <c r="K17" t="str">
        <v/>
      </c>
      <c r="L17" t="str">
        <v/>
      </c>
      <c r="M17" t="str">
        <v>Élevée</v>
      </c>
      <c r="N17" t="str">
        <v>Transport &amp; Logistique</v>
      </c>
      <c r="O17" t="str">
        <v/>
      </c>
      <c r="P17" t="str">
        <v/>
      </c>
      <c r="Q17">
        <v>974</v>
      </c>
      <c r="R17">
        <v>609</v>
      </c>
    </row>
    <row r="18">
      <c r="A18" t="str">
        <v>V21</v>
      </c>
      <c r="B18" t="str">
        <v>Indice de risque accident</v>
      </c>
      <c r="C18" t="str">
        <v>ratio (sans unité)</v>
      </c>
      <c r="D18">
        <v>1</v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Moyenne</v>
      </c>
      <c r="N18" t="str">
        <v>Dangerosité de la mise en oeuvre</v>
      </c>
      <c r="O18" t="str">
        <v/>
      </c>
      <c r="P18" t="str">
        <v/>
      </c>
      <c r="Q18">
        <v>726</v>
      </c>
      <c r="R18">
        <v>1123</v>
      </c>
    </row>
    <row r="19">
      <c r="A19" t="str">
        <v>V22</v>
      </c>
      <c r="B19" t="str">
        <v>Masse 1 FOB</v>
      </c>
      <c r="C19" t="str">
        <v>kg</v>
      </c>
      <c r="D19">
        <v>600</v>
      </c>
      <c r="E19" t="str">
        <v/>
      </c>
      <c r="F19" t="str">
        <v/>
      </c>
      <c r="G19" t="str">
        <v>MIN(V102*V42+V41*V12,V104/V27)</v>
      </c>
      <c r="H19">
        <f>MIN(D76*D36+D35*D11,D78/D23)</f>
      </c>
      <c r="I19" t="str">
        <v/>
      </c>
      <c r="J19" t="str">
        <v/>
      </c>
      <c r="K19" t="str">
        <v/>
      </c>
      <c r="L19" t="str">
        <v/>
      </c>
      <c r="M19" t="str">
        <v>Moyenne</v>
      </c>
      <c r="N19" t="str">
        <v>Caractéristiques du MOB</v>
      </c>
      <c r="O19" t="str">
        <v/>
      </c>
      <c r="P19" t="str">
        <v/>
      </c>
      <c r="Q19">
        <v>806</v>
      </c>
      <c r="R19">
        <v>-61</v>
      </c>
    </row>
    <row r="20">
      <c r="A20" t="str">
        <v>V24</v>
      </c>
      <c r="B20" t="str">
        <v>Moyen matériel atelier</v>
      </c>
      <c r="C20" t="str">
        <v>€</v>
      </c>
      <c r="D20">
        <v>10000</v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Moyenne</v>
      </c>
      <c r="N20" t="str">
        <v>Production atelier</v>
      </c>
      <c r="O20" t="str">
        <v/>
      </c>
      <c r="P20" t="str">
        <v/>
      </c>
      <c r="Q20">
        <v>1207</v>
      </c>
      <c r="R20">
        <v>1053</v>
      </c>
    </row>
    <row r="21">
      <c r="A21" t="str">
        <v>V25</v>
      </c>
      <c r="B21" t="str">
        <v>Nombre de camion/flotte transport</v>
      </c>
      <c r="C21" t="str">
        <v>camions</v>
      </c>
      <c r="D21">
        <v>3</v>
      </c>
      <c r="E21" t="str">
        <v/>
      </c>
      <c r="F21" t="str">
        <v/>
      </c>
      <c r="G21" t="str">
        <v>(2*V92+V121)/(V27/arrondi.inf(V2,0))</v>
      </c>
      <c r="H21">
        <f>(2*D66+D95)/(D23/arrondi.inf(D3,0))</f>
      </c>
      <c r="I21" t="str">
        <v/>
      </c>
      <c r="J21" t="str">
        <v/>
      </c>
      <c r="K21">
        <v>1</v>
      </c>
      <c r="L21" t="str">
        <v/>
      </c>
      <c r="M21" t="str">
        <v>Élevée</v>
      </c>
      <c r="N21" t="str">
        <v>Transport &amp; Logistique</v>
      </c>
      <c r="O21" t="str">
        <v>attention à la formule ! Faire le choix de limiter en nombre de camion mais dégrader la production</v>
      </c>
      <c r="P21" t="str">
        <v/>
      </c>
      <c r="Q21">
        <v>393</v>
      </c>
      <c r="R21">
        <v>330</v>
      </c>
    </row>
    <row r="22">
      <c r="A22" t="str">
        <v>V26</v>
      </c>
      <c r="B22" t="str">
        <v>Nombre de FOB d'un projet</v>
      </c>
      <c r="C22" t="str">
        <v>FOB</v>
      </c>
      <c r="D22">
        <v>50</v>
      </c>
      <c r="E22" t="str">
        <v/>
      </c>
      <c r="F22" t="str">
        <v/>
      </c>
      <c r="G22" t="str">
        <v>V36/V52</v>
      </c>
      <c r="H22">
        <f>D31/D40</f>
      </c>
      <c r="I22" t="str">
        <v/>
      </c>
      <c r="J22" t="str">
        <v/>
      </c>
      <c r="K22" t="str">
        <v/>
      </c>
      <c r="L22" t="str">
        <v/>
      </c>
      <c r="M22" t="str">
        <v>Faible</v>
      </c>
      <c r="N22" t="str">
        <v>Caractéristiques du projet</v>
      </c>
      <c r="O22" t="str">
        <v/>
      </c>
      <c r="P22" t="str">
        <v/>
      </c>
      <c r="Q22">
        <v>1350</v>
      </c>
      <c r="R22">
        <v>91</v>
      </c>
    </row>
    <row r="23">
      <c r="A23" t="str">
        <v>V27</v>
      </c>
      <c r="B23" t="str">
        <v>Nombre de FOB/camion</v>
      </c>
      <c r="C23" t="str">
        <v>FOB/camion</v>
      </c>
      <c r="D23">
        <v>24</v>
      </c>
      <c r="E23" t="str">
        <v/>
      </c>
      <c r="F23" t="str">
        <v/>
      </c>
      <c r="G23" t="str">
        <v>ROUNDDOWN(V62/(V17*10^-3+V78*10^-2),0)*ROUNDDOWN(V60/V58,0)</v>
      </c>
      <c r="H23">
        <f>ROUNDDOWN(D47/(D16*10^-3+D57*10^-2),0)*ROUNDDOWN(D45/D43,0)</f>
      </c>
      <c r="I23" t="str">
        <v/>
      </c>
      <c r="J23" t="str">
        <v>arrondi.inf(V104/V22,0)</v>
      </c>
      <c r="K23">
        <v>1</v>
      </c>
      <c r="L23" t="str">
        <v/>
      </c>
      <c r="M23" t="str">
        <v>Élevée</v>
      </c>
      <c r="N23" t="str">
        <v>Transport &amp; Logistique</v>
      </c>
      <c r="O23" t="str">
        <v/>
      </c>
      <c r="P23" t="str">
        <v/>
      </c>
      <c r="Q23">
        <v>570</v>
      </c>
      <c r="R23">
        <v>355</v>
      </c>
    </row>
    <row r="24">
      <c r="A24" t="str">
        <v>V28</v>
      </c>
      <c r="B24" t="str">
        <v>Nombre d'opérateurs à l'atelier</v>
      </c>
      <c r="C24" t="str">
        <v>opérateurs</v>
      </c>
      <c r="D24">
        <v>3</v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Moyenne</v>
      </c>
      <c r="N24" t="str">
        <v>Production atelier</v>
      </c>
      <c r="O24" t="str">
        <v/>
      </c>
      <c r="P24" t="str">
        <v/>
      </c>
      <c r="Q24">
        <v>1221</v>
      </c>
      <c r="R24">
        <v>874</v>
      </c>
    </row>
    <row r="25">
      <c r="A25" t="str">
        <v>V29</v>
      </c>
      <c r="B25" t="str">
        <v>Nombre d'opérateurs sur site</v>
      </c>
      <c r="C25" t="str">
        <v>opérateurs</v>
      </c>
      <c r="D25">
        <v>4</v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Élevée</v>
      </c>
      <c r="N25" t="str">
        <v>Chantier / Pose</v>
      </c>
      <c r="O25" t="str">
        <v/>
      </c>
      <c r="P25" t="str">
        <v/>
      </c>
      <c r="Q25">
        <v>1537</v>
      </c>
      <c r="R25">
        <v>808</v>
      </c>
    </row>
    <row r="26">
      <c r="A26" t="str">
        <v>V30</v>
      </c>
      <c r="B26" t="str">
        <v>Prix unitaire isolant</v>
      </c>
      <c r="C26" t="str">
        <v>€/m³</v>
      </c>
      <c r="D26">
        <v>20</v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Moyenne</v>
      </c>
      <c r="N26" t="str">
        <v>Caractéristique de l'isolant</v>
      </c>
      <c r="O26" t="str">
        <v/>
      </c>
      <c r="P26" t="str">
        <v/>
      </c>
      <c r="Q26">
        <v>158</v>
      </c>
      <c r="R26">
        <v>1000</v>
      </c>
    </row>
    <row r="27">
      <c r="A27" t="str">
        <v>V32</v>
      </c>
      <c r="B27" t="str">
        <v>Risque de dégradation MOB lié au transport</v>
      </c>
      <c r="C27" t="str">
        <v>ratio (sans unité)</v>
      </c>
      <c r="D27">
        <v>0.3</v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Faible</v>
      </c>
      <c r="N27" t="str">
        <v>Transport &amp; Logistique</v>
      </c>
      <c r="O27" t="str">
        <v/>
      </c>
      <c r="P27" t="str">
        <v/>
      </c>
      <c r="Q27">
        <v>650</v>
      </c>
      <c r="R27">
        <v>-127</v>
      </c>
    </row>
    <row r="28">
      <c r="A28" t="str">
        <v>V33</v>
      </c>
      <c r="B28" t="str">
        <v>Risque fongique/compostage</v>
      </c>
      <c r="C28" t="str">
        <v>ratio (sans unité)</v>
      </c>
      <c r="D28">
        <v>0.2</v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Faible</v>
      </c>
      <c r="N28" t="str">
        <v>Caractéristique de l'isolant</v>
      </c>
      <c r="O28" t="str">
        <v/>
      </c>
      <c r="P28" t="str">
        <v/>
      </c>
      <c r="Q28">
        <v>684</v>
      </c>
      <c r="R28">
        <v>64</v>
      </c>
    </row>
    <row r="29">
      <c r="A29" t="str">
        <v>V34</v>
      </c>
      <c r="B29" t="str">
        <v>Stockage extérieur</v>
      </c>
      <c r="C29" t="str">
        <v>% du stockage total</v>
      </c>
      <c r="D29">
        <v>30</v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Moyenne</v>
      </c>
      <c r="N29" t="str">
        <v>Transport &amp; Logistique</v>
      </c>
      <c r="O29" t="str">
        <v/>
      </c>
      <c r="P29" t="str">
        <v/>
      </c>
      <c r="Q29">
        <v>812</v>
      </c>
      <c r="R29">
        <v>568</v>
      </c>
    </row>
    <row r="30">
      <c r="A30" t="str">
        <v>V35</v>
      </c>
      <c r="B30" t="str">
        <v>Stockage sur site</v>
      </c>
      <c r="C30" t="str">
        <v>FOB</v>
      </c>
      <c r="D30">
        <v>20</v>
      </c>
      <c r="E30" t="str">
        <v/>
      </c>
      <c r="F30" t="str">
        <v/>
      </c>
      <c r="G30" t="str">
        <v>V19*V27-V2*V93</v>
      </c>
      <c r="H30">
        <f>D17*D23-D3*D67</f>
      </c>
      <c r="I30" t="str">
        <v/>
      </c>
      <c r="J30" t="str">
        <v/>
      </c>
      <c r="K30" t="str">
        <v/>
      </c>
      <c r="L30" t="str">
        <v/>
      </c>
      <c r="M30" t="str">
        <v>Moyenne</v>
      </c>
      <c r="N30" t="str">
        <v>Chantier / Pose</v>
      </c>
      <c r="O30" t="str">
        <v/>
      </c>
      <c r="P30" t="str">
        <v/>
      </c>
      <c r="Q30">
        <v>1290</v>
      </c>
      <c r="R30">
        <v>554</v>
      </c>
    </row>
    <row r="31">
      <c r="A31" t="str">
        <v>V36</v>
      </c>
      <c r="B31" t="str">
        <v>Surfaçe de facade projet</v>
      </c>
      <c r="C31" t="str">
        <v>m²</v>
      </c>
      <c r="D31">
        <v>750</v>
      </c>
      <c r="E31" t="str">
        <v/>
      </c>
      <c r="F31" t="str">
        <v/>
      </c>
      <c r="G31" t="str">
        <v>V72*V73</v>
      </c>
      <c r="H31">
        <f>D51*D52</f>
      </c>
      <c r="I31" t="str">
        <v/>
      </c>
      <c r="J31" t="str">
        <v/>
      </c>
      <c r="K31" t="str">
        <v/>
      </c>
      <c r="L31" t="str">
        <v/>
      </c>
      <c r="M31" t="str">
        <v>Faible</v>
      </c>
      <c r="N31" t="str">
        <v>Caractéristiques du projet</v>
      </c>
      <c r="O31" t="str">
        <v/>
      </c>
      <c r="P31" t="str">
        <v/>
      </c>
      <c r="Q31">
        <v>1296</v>
      </c>
      <c r="R31">
        <v>-390</v>
      </c>
    </row>
    <row r="32">
      <c r="A32" t="str">
        <v>V38</v>
      </c>
      <c r="B32" t="str">
        <v>Temp de réparation moyen/FOB</v>
      </c>
      <c r="C32" t="str">
        <v>heures/FOB</v>
      </c>
      <c r="D32">
        <v>0.1</v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Moyenne</v>
      </c>
      <c r="N32" t="str">
        <v>Chantier / Pose</v>
      </c>
      <c r="O32" t="str">
        <v/>
      </c>
      <c r="P32" t="str">
        <v/>
      </c>
      <c r="Q32">
        <v>1086</v>
      </c>
      <c r="R32">
        <v>347</v>
      </c>
    </row>
    <row r="33">
      <c r="A33" t="str">
        <v>V39</v>
      </c>
      <c r="B33" t="str">
        <v>Temps d'exposition humidité</v>
      </c>
      <c r="C33" t="str">
        <v>heures</v>
      </c>
      <c r="D33">
        <v>48</v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Moyenne</v>
      </c>
      <c r="N33" t="str">
        <v>Environnement &amp; Site</v>
      </c>
      <c r="O33" t="str">
        <v/>
      </c>
      <c r="P33" t="str">
        <v/>
      </c>
      <c r="Q33">
        <v>1449</v>
      </c>
      <c r="R33">
        <v>-246</v>
      </c>
    </row>
    <row r="34">
      <c r="A34" t="str">
        <v>V40</v>
      </c>
      <c r="B34" t="str">
        <v>Volume de production FOB</v>
      </c>
      <c r="C34" t="str">
        <v>FOB/an</v>
      </c>
      <c r="D34">
        <v>300</v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>227*V93/V3</v>
      </c>
      <c r="K34" t="str">
        <v/>
      </c>
      <c r="L34" t="str">
        <v/>
      </c>
      <c r="M34" t="str">
        <v>Élevée</v>
      </c>
      <c r="N34" t="str">
        <v>Production atelier</v>
      </c>
      <c r="O34" t="str">
        <v/>
      </c>
      <c r="P34" t="str">
        <v/>
      </c>
      <c r="Q34">
        <v>1054</v>
      </c>
      <c r="R34">
        <v>1156</v>
      </c>
    </row>
    <row r="35">
      <c r="A35" t="str">
        <v>V41</v>
      </c>
      <c r="B35" t="str">
        <v>Volume d'isolant</v>
      </c>
      <c r="C35" t="str">
        <v>m³/FOB</v>
      </c>
      <c r="D35">
        <v>2.2</v>
      </c>
      <c r="E35" t="str">
        <v/>
      </c>
      <c r="F35" t="str">
        <v/>
      </c>
      <c r="G35" t="str">
        <v>V17*10^-3*V52-V42</v>
      </c>
      <c r="H35">
        <f>D16*10^-3*D40-D36</f>
      </c>
      <c r="I35" t="str">
        <v/>
      </c>
      <c r="J35" t="str">
        <v/>
      </c>
      <c r="K35" t="str">
        <v/>
      </c>
      <c r="L35" t="str">
        <v/>
      </c>
      <c r="M35" t="str">
        <v>Faible</v>
      </c>
      <c r="N35" t="str">
        <v>Caractéristiques du MOB</v>
      </c>
      <c r="O35" t="str">
        <v/>
      </c>
      <c r="P35" t="str">
        <v/>
      </c>
      <c r="Q35">
        <v>727</v>
      </c>
      <c r="R35">
        <v>425</v>
      </c>
    </row>
    <row r="36">
      <c r="A36" t="str">
        <v>V42</v>
      </c>
      <c r="B36" t="str">
        <v>Volume d'ossature</v>
      </c>
      <c r="C36" t="str">
        <v>m³/FOB</v>
      </c>
      <c r="D36">
        <v>0.13</v>
      </c>
      <c r="E36" t="str">
        <v/>
      </c>
      <c r="F36" t="str">
        <v/>
      </c>
      <c r="G36" t="str">
        <v>V107*V17*10^-3</v>
      </c>
      <c r="H36">
        <f>D81*D16*10^-3</f>
      </c>
      <c r="I36" t="str">
        <v/>
      </c>
      <c r="J36" t="str">
        <v/>
      </c>
      <c r="K36" t="str">
        <v/>
      </c>
      <c r="L36" t="str">
        <v/>
      </c>
      <c r="M36" t="str">
        <v>Élevée</v>
      </c>
      <c r="N36" t="str">
        <v>Caractéristiques du MOB</v>
      </c>
      <c r="O36" t="str">
        <v/>
      </c>
      <c r="P36" t="str">
        <v/>
      </c>
      <c r="Q36">
        <v>344</v>
      </c>
      <c r="R36">
        <v>135</v>
      </c>
    </row>
    <row r="37">
      <c r="A37" t="str">
        <v>V45</v>
      </c>
      <c r="B37" t="str">
        <v>duré amortissement matériels</v>
      </c>
      <c r="C37" t="str">
        <v>années</v>
      </c>
      <c r="D37">
        <v>20</v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Faible</v>
      </c>
      <c r="N37" t="str">
        <v>Coûts</v>
      </c>
      <c r="O37" t="str">
        <v/>
      </c>
      <c r="P37" t="str">
        <v/>
      </c>
      <c r="Q37">
        <v>588</v>
      </c>
      <c r="R37">
        <v>1237</v>
      </c>
    </row>
    <row r="38">
      <c r="A38" t="str">
        <v>V47</v>
      </c>
      <c r="B38" t="str">
        <v>coût EPI/opérateur</v>
      </c>
      <c r="C38" t="str">
        <v>€/opérateur</v>
      </c>
      <c r="D38">
        <v>8</v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Faible</v>
      </c>
      <c r="N38" t="str">
        <v>Dangerosité de la mise en oeuvre</v>
      </c>
      <c r="O38" t="str">
        <v/>
      </c>
      <c r="P38" t="str">
        <v/>
      </c>
      <c r="Q38">
        <v>598</v>
      </c>
      <c r="R38">
        <v>758</v>
      </c>
    </row>
    <row r="39">
      <c r="A39" t="str">
        <v>V50</v>
      </c>
      <c r="B39" t="str">
        <v>coût horaire chauffeur</v>
      </c>
      <c r="C39" t="str">
        <v>€/h</v>
      </c>
      <c r="D39">
        <v>45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Faible</v>
      </c>
      <c r="N39" t="str">
        <v>Coûts</v>
      </c>
      <c r="O39" t="str">
        <v/>
      </c>
      <c r="P39" t="str">
        <v/>
      </c>
      <c r="Q39">
        <v>888</v>
      </c>
      <c r="R39">
        <v>1060</v>
      </c>
    </row>
    <row r="40">
      <c r="A40" t="str">
        <v>V52</v>
      </c>
      <c r="B40" t="str">
        <v>Surface d'un panneau FOB</v>
      </c>
      <c r="C40" t="str">
        <v>m²</v>
      </c>
      <c r="D40">
        <v>12</v>
      </c>
      <c r="E40" t="str">
        <v/>
      </c>
      <c r="F40" t="str">
        <v/>
      </c>
      <c r="G40" t="str">
        <v>V57*V58</v>
      </c>
      <c r="H40">
        <f>D42*D43</f>
      </c>
      <c r="I40" t="str">
        <v/>
      </c>
      <c r="J40" t="str">
        <v/>
      </c>
      <c r="K40" t="str">
        <v/>
      </c>
      <c r="L40" t="str">
        <v/>
      </c>
      <c r="M40" t="str">
        <v>Faible</v>
      </c>
      <c r="N40" t="str">
        <v>Caractéristiques du MOB</v>
      </c>
      <c r="O40" t="str">
        <v/>
      </c>
      <c r="P40" t="str">
        <v/>
      </c>
      <c r="Q40">
        <v>870</v>
      </c>
      <c r="R40">
        <v>250</v>
      </c>
    </row>
    <row r="41">
      <c r="A41" t="str">
        <v>V56</v>
      </c>
      <c r="B41" t="str">
        <v>Résistance thermique de la paroi</v>
      </c>
      <c r="C41" t="str">
        <v>m².K/W</v>
      </c>
      <c r="D41">
        <v>4</v>
      </c>
      <c r="E41" t="str">
        <v/>
      </c>
      <c r="F41" t="str">
        <v/>
      </c>
      <c r="G41" t="str">
        <v>(V52*V115*(V17*10^-3/V105))/((V52-V107)*V115+V107*(V17*10^-3/V105))</v>
      </c>
      <c r="H41">
        <f>(D40*D89*(D16*10^-3/D79))/((D40-D81)*D89+D81*(D16*10^-3/D79))</f>
      </c>
      <c r="I41" t="str">
        <v/>
      </c>
      <c r="J41" t="str">
        <v/>
      </c>
      <c r="K41" t="str">
        <v/>
      </c>
      <c r="L41" t="str">
        <v/>
      </c>
      <c r="M41" t="str">
        <v>Élevée</v>
      </c>
      <c r="N41" t="str">
        <v>Caractéristiques du projet</v>
      </c>
      <c r="O41" t="str">
        <v/>
      </c>
      <c r="P41" t="str">
        <v/>
      </c>
      <c r="Q41">
        <v>496</v>
      </c>
      <c r="R41">
        <v>-7</v>
      </c>
    </row>
    <row r="42">
      <c r="A42" t="str">
        <v>V57</v>
      </c>
      <c r="B42" t="str">
        <v>hauteur FOB</v>
      </c>
      <c r="C42" t="str">
        <v>m</v>
      </c>
      <c r="D42">
        <v>2.5</v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>V61</v>
      </c>
      <c r="K42" t="str">
        <v/>
      </c>
      <c r="L42" t="str">
        <v/>
      </c>
      <c r="M42" t="str">
        <v>Faible</v>
      </c>
      <c r="N42" t="str">
        <v>Caractéristiques du MOB</v>
      </c>
      <c r="O42" t="str">
        <v/>
      </c>
      <c r="P42" t="str">
        <v/>
      </c>
      <c r="Q42">
        <v>569</v>
      </c>
      <c r="R42">
        <v>-436</v>
      </c>
    </row>
    <row r="43">
      <c r="A43" t="str">
        <v>V58</v>
      </c>
      <c r="B43" t="str">
        <v>Longueur FOB</v>
      </c>
      <c r="C43" t="str">
        <v>m</v>
      </c>
      <c r="D43">
        <v>4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Faible</v>
      </c>
      <c r="N43" t="str">
        <v>Caractéristiques du MOB</v>
      </c>
      <c r="O43" t="str">
        <v/>
      </c>
      <c r="P43" t="str">
        <v/>
      </c>
      <c r="Q43">
        <v>430</v>
      </c>
      <c r="R43">
        <v>-175</v>
      </c>
    </row>
    <row r="44">
      <c r="A44" t="str">
        <v>V59</v>
      </c>
      <c r="B44" t="str">
        <v>Epaisseur montant bois FOB</v>
      </c>
      <c r="C44" t="str">
        <v>m</v>
      </c>
      <c r="D44">
        <v>0.022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Faible</v>
      </c>
      <c r="N44" t="str">
        <v>Caractéristiques du MOB</v>
      </c>
      <c r="O44" t="str">
        <v/>
      </c>
      <c r="P44" t="str">
        <v/>
      </c>
      <c r="Q44">
        <v>137</v>
      </c>
      <c r="R44">
        <v>-113</v>
      </c>
    </row>
    <row r="45">
      <c r="A45" t="str">
        <v>V60</v>
      </c>
      <c r="B45" t="str">
        <v>longueur camion</v>
      </c>
      <c r="C45" t="str">
        <v>m</v>
      </c>
      <c r="D45">
        <v>13.5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>
        <v>29</v>
      </c>
      <c r="M45" t="str">
        <v>Faible</v>
      </c>
      <c r="N45" t="str">
        <v>Transport &amp; Logistique</v>
      </c>
      <c r="O45" t="str">
        <v/>
      </c>
      <c r="P45" t="str">
        <v/>
      </c>
      <c r="Q45">
        <v>20</v>
      </c>
      <c r="R45">
        <v>39</v>
      </c>
    </row>
    <row r="46">
      <c r="A46" t="str">
        <v>V61</v>
      </c>
      <c r="B46" t="str">
        <v>largeur plateau camion</v>
      </c>
      <c r="C46" t="str">
        <v>m</v>
      </c>
      <c r="D46">
        <v>2.55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>
        <v>2.55</v>
      </c>
      <c r="M46" t="str">
        <v>Faible</v>
      </c>
      <c r="N46" t="str">
        <v>Transport &amp; Logistique</v>
      </c>
      <c r="O46" t="str">
        <v/>
      </c>
      <c r="P46" t="str">
        <v/>
      </c>
      <c r="Q46">
        <v>-42</v>
      </c>
      <c r="R46">
        <v>-124</v>
      </c>
    </row>
    <row r="47">
      <c r="A47" t="str">
        <v>V62</v>
      </c>
      <c r="B47" t="str">
        <v>hauteur plateau camion</v>
      </c>
      <c r="C47" t="str">
        <v>m</v>
      </c>
      <c r="D47">
        <v>2.7</v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Faible</v>
      </c>
      <c r="N47" t="str">
        <v>Transport &amp; Logistique</v>
      </c>
      <c r="O47" t="str">
        <v/>
      </c>
      <c r="P47" t="str">
        <v/>
      </c>
      <c r="Q47">
        <v>104</v>
      </c>
      <c r="R47">
        <v>193</v>
      </c>
    </row>
    <row r="48">
      <c r="A48" t="str">
        <v>V66</v>
      </c>
      <c r="B48" t="str">
        <v>Risque d'aléas climatiques extrême</v>
      </c>
      <c r="C48" t="str">
        <v>ratio (sans unité)</v>
      </c>
      <c r="D48">
        <v>1</v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Moyenne</v>
      </c>
      <c r="N48" t="str">
        <v>Environnement &amp; Site</v>
      </c>
      <c r="O48" t="str">
        <v/>
      </c>
      <c r="P48" t="str">
        <v/>
      </c>
      <c r="Q48">
        <v>895</v>
      </c>
      <c r="R48">
        <v>82</v>
      </c>
    </row>
    <row r="49">
      <c r="A49" t="str">
        <v>V70</v>
      </c>
      <c r="B49" t="str">
        <v>Coût de formation utilisation isolant</v>
      </c>
      <c r="C49" t="str">
        <v>€/opérateur</v>
      </c>
      <c r="D49">
        <v>800</v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Moyenne</v>
      </c>
      <c r="N49" t="str">
        <v>Dangerosité de la mise en oeuvre</v>
      </c>
      <c r="O49" t="str">
        <v/>
      </c>
      <c r="P49" t="str">
        <v/>
      </c>
      <c r="Q49">
        <v>349</v>
      </c>
      <c r="R49">
        <v>1031</v>
      </c>
    </row>
    <row r="50">
      <c r="A50" t="str">
        <v>V71</v>
      </c>
      <c r="B50" t="str">
        <v>Complexité d'un projet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Faible</v>
      </c>
      <c r="N50" t="str">
        <v>Caractéristiques du projet</v>
      </c>
      <c r="O50" t="str">
        <v/>
      </c>
      <c r="P50" t="str">
        <v/>
      </c>
      <c r="Q50">
        <v>817</v>
      </c>
      <c r="R50">
        <v>-224</v>
      </c>
    </row>
    <row r="51">
      <c r="A51" t="str">
        <v>V72</v>
      </c>
      <c r="B51" t="str">
        <v>Périmètre façade projet</v>
      </c>
      <c r="C51" t="str">
        <v>m</v>
      </c>
      <c r="D51">
        <v>500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Faible</v>
      </c>
      <c r="N51" t="str">
        <v>Caractéristiques du projet</v>
      </c>
      <c r="O51" t="str">
        <v/>
      </c>
      <c r="P51" t="str">
        <v/>
      </c>
      <c r="Q51">
        <v>1278</v>
      </c>
      <c r="R51">
        <v>-208</v>
      </c>
    </row>
    <row r="52">
      <c r="A52" t="str">
        <v>V73</v>
      </c>
      <c r="B52" t="str">
        <v>Hauteur de façade</v>
      </c>
      <c r="C52" t="str">
        <v>m</v>
      </c>
      <c r="D52">
        <v>3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Faible</v>
      </c>
      <c r="N52" t="str">
        <v>Caractéristiques du projet</v>
      </c>
      <c r="O52" t="str">
        <v/>
      </c>
      <c r="P52" t="str">
        <v/>
      </c>
      <c r="Q52">
        <v>1147</v>
      </c>
      <c r="R52">
        <v>-503</v>
      </c>
    </row>
    <row r="53">
      <c r="A53" t="str">
        <v>V74</v>
      </c>
      <c r="B53" t="str">
        <v>Surface vitrée d'un projet</v>
      </c>
      <c r="C53" t="str">
        <v>m²</v>
      </c>
      <c r="D53">
        <v>50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Faible</v>
      </c>
      <c r="N53" t="str">
        <v>Caractéristiques du projet</v>
      </c>
      <c r="O53" t="str">
        <v/>
      </c>
      <c r="P53" t="str">
        <v/>
      </c>
      <c r="Q53">
        <v>556</v>
      </c>
      <c r="R53">
        <v>-276</v>
      </c>
    </row>
    <row r="54">
      <c r="A54" t="str">
        <v>V75</v>
      </c>
      <c r="B54" t="str">
        <v>longueur d'angle (Projet)</v>
      </c>
      <c r="C54" t="str">
        <v>m</v>
      </c>
      <c r="D54">
        <v>400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Faible</v>
      </c>
      <c r="N54" t="str">
        <v>Caractéristiques du projet</v>
      </c>
      <c r="O54" t="str">
        <v/>
      </c>
      <c r="P54" t="str">
        <v/>
      </c>
      <c r="Q54">
        <v>399</v>
      </c>
      <c r="R54">
        <v>-678</v>
      </c>
    </row>
    <row r="55">
      <c r="A55" t="str">
        <v>V76</v>
      </c>
      <c r="B55" t="str">
        <v>Linéaire de montant dans FOB</v>
      </c>
      <c r="C55" t="str">
        <v>m</v>
      </c>
      <c r="D55">
        <v>20</v>
      </c>
      <c r="E55" t="str">
        <v/>
      </c>
      <c r="F55" t="str">
        <v/>
      </c>
      <c r="G55" t="str">
        <v>2*V58+V57*V58/V106</v>
      </c>
      <c r="H55">
        <f>2*D43+D42*D43/D80</f>
      </c>
      <c r="I55" t="str">
        <v/>
      </c>
      <c r="J55" t="str">
        <v/>
      </c>
      <c r="K55" t="str">
        <v/>
      </c>
      <c r="L55" t="str">
        <v/>
      </c>
      <c r="M55" t="str">
        <v>Faible</v>
      </c>
      <c r="N55" t="str">
        <v>Caractéristiques du MOB</v>
      </c>
      <c r="O55" t="str">
        <v/>
      </c>
      <c r="P55" t="str">
        <v/>
      </c>
      <c r="Q55">
        <v>256</v>
      </c>
      <c r="R55">
        <v>-404</v>
      </c>
    </row>
    <row r="56">
      <c r="A56" t="str">
        <v>V77</v>
      </c>
      <c r="B56" t="str">
        <v>Risque d'infiltration</v>
      </c>
      <c r="C56" t="str">
        <v>ratio (sans unité)</v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Moyenne</v>
      </c>
      <c r="N56" t="str">
        <v>Caractéristiques du projet</v>
      </c>
      <c r="O56" t="str">
        <v/>
      </c>
      <c r="P56" t="str">
        <v/>
      </c>
      <c r="Q56">
        <v>1112</v>
      </c>
      <c r="R56">
        <v>-142</v>
      </c>
    </row>
    <row r="57">
      <c r="A57" t="str">
        <v>V78</v>
      </c>
      <c r="B57" t="str">
        <v>Epaisseur calage transport</v>
      </c>
      <c r="C57" t="str">
        <v>cm</v>
      </c>
      <c r="D57">
        <v>7</v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Faible</v>
      </c>
      <c r="N57" t="str">
        <v>Transport &amp; Logistique</v>
      </c>
      <c r="O57" t="str">
        <v/>
      </c>
      <c r="P57" t="str">
        <v/>
      </c>
      <c r="Q57">
        <v>-100</v>
      </c>
      <c r="R57">
        <v>476</v>
      </c>
    </row>
    <row r="58">
      <c r="A58" t="str">
        <v>V79</v>
      </c>
      <c r="B58" t="str">
        <v>Compacité</v>
      </c>
      <c r="C58" t="str">
        <v/>
      </c>
      <c r="D58" t="str">
        <v/>
      </c>
      <c r="E58" t="str">
        <v/>
      </c>
      <c r="F58" t="str">
        <v/>
      </c>
      <c r="G58" t="str">
        <v>V100/V36</v>
      </c>
      <c r="H58">
        <f>D74/D31</f>
      </c>
      <c r="I58" t="str">
        <v/>
      </c>
      <c r="J58" t="str">
        <v/>
      </c>
      <c r="K58" t="str">
        <v/>
      </c>
      <c r="L58" t="str">
        <v/>
      </c>
      <c r="M58" t="str">
        <v>Faible</v>
      </c>
      <c r="N58" t="str">
        <v>Caractéristiques du projet</v>
      </c>
      <c r="O58" t="str">
        <v/>
      </c>
      <c r="P58" t="str">
        <v/>
      </c>
      <c r="Q58">
        <v>707</v>
      </c>
      <c r="R58">
        <v>-513</v>
      </c>
    </row>
    <row r="59">
      <c r="A59" t="str">
        <v>V81</v>
      </c>
      <c r="B59" t="str">
        <v>Volume d'isolant vendu annuel</v>
      </c>
      <c r="C59" t="str">
        <v>m³/an</v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Élevée</v>
      </c>
      <c r="N59" t="str">
        <v>Caractéristique de l'isolant</v>
      </c>
      <c r="O59" t="str">
        <v/>
      </c>
      <c r="P59" t="str">
        <v/>
      </c>
      <c r="Q59">
        <v>783</v>
      </c>
      <c r="R59">
        <v>745</v>
      </c>
    </row>
    <row r="60">
      <c r="A60" t="str">
        <v>V85</v>
      </c>
      <c r="B60" t="str">
        <v>heures d'utilisation grue mobile PPM</v>
      </c>
      <c r="C60" t="str">
        <v>h</v>
      </c>
      <c r="D60">
        <v>1</v>
      </c>
      <c r="E60" t="str">
        <v/>
      </c>
      <c r="F60" t="str">
        <v/>
      </c>
      <c r="G60" t="str">
        <v>V93-V90</v>
      </c>
      <c r="H60">
        <f>D67-D64</f>
      </c>
      <c r="I60" t="str">
        <v/>
      </c>
      <c r="J60" t="str">
        <v/>
      </c>
      <c r="K60">
        <v>0</v>
      </c>
      <c r="L60">
        <v>8</v>
      </c>
      <c r="M60" t="str">
        <v>Faible</v>
      </c>
      <c r="N60" t="str">
        <v>Manutention (grue)</v>
      </c>
      <c r="O60" t="str">
        <v/>
      </c>
      <c r="P60" t="str">
        <v/>
      </c>
      <c r="Q60">
        <v>1429</v>
      </c>
      <c r="R60">
        <v>416</v>
      </c>
    </row>
    <row r="61">
      <c r="A61" t="str">
        <v>V86</v>
      </c>
      <c r="B61" t="str">
        <v>Modèle de la grue nécessaire</v>
      </c>
      <c r="C61" t="str">
        <v/>
      </c>
      <c r="D61">
        <v>1</v>
      </c>
      <c r="E61" t="str">
        <v/>
      </c>
      <c r="F61" t="str">
        <v/>
      </c>
      <c r="G61" t="str">
        <v>SQRT(V117^2+V118^2)*0.9</v>
      </c>
      <c r="H61">
        <f>SQRT(D91^2+D92^2)*0.9</f>
      </c>
      <c r="I61" t="str">
        <v/>
      </c>
      <c r="J61" t="str">
        <v/>
      </c>
      <c r="K61" t="str">
        <v/>
      </c>
      <c r="L61" t="str">
        <v/>
      </c>
      <c r="M61" t="str">
        <v>Moyenne</v>
      </c>
      <c r="N61" t="str">
        <v>Manutention (grue)</v>
      </c>
      <c r="O61" t="str">
        <v/>
      </c>
      <c r="P61" t="str">
        <v/>
      </c>
      <c r="Q61">
        <v>1201</v>
      </c>
      <c r="R61">
        <v>190</v>
      </c>
    </row>
    <row r="62">
      <c r="A62" t="str">
        <v>V87</v>
      </c>
      <c r="B62" t="str">
        <v>jours d'intempérie annuel</v>
      </c>
      <c r="C62" t="str">
        <v>j</v>
      </c>
      <c r="D62">
        <v>20</v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Faible</v>
      </c>
      <c r="N62" t="str">
        <v>Environnement &amp; Site</v>
      </c>
      <c r="O62" t="str">
        <v>18j en 2022 suivant ces contrainte (P&gt;15mm;V&gt;60km/h;T&lt;4°C)</v>
      </c>
      <c r="P62" t="str">
        <v/>
      </c>
      <c r="Q62">
        <v>1235</v>
      </c>
      <c r="R62">
        <v>-24</v>
      </c>
    </row>
    <row r="63">
      <c r="A63" t="str">
        <v>V89</v>
      </c>
      <c r="B63" t="str">
        <v>Disponibilité grue</v>
      </c>
      <c r="C63" t="str">
        <v>h/j</v>
      </c>
      <c r="D63" t="str">
        <v/>
      </c>
      <c r="E63" t="str">
        <v/>
      </c>
      <c r="F63" t="str">
        <v/>
      </c>
      <c r="G63" t="str">
        <v>V93 + V90</v>
      </c>
      <c r="H63">
        <f>D67 + D64</f>
      </c>
      <c r="I63" t="str">
        <v/>
      </c>
      <c r="J63" t="str">
        <v>V93</v>
      </c>
      <c r="K63">
        <v>0</v>
      </c>
      <c r="L63" t="str">
        <v/>
      </c>
      <c r="M63" t="str">
        <v>Faible</v>
      </c>
      <c r="N63" t="str">
        <v>Manutention (grue)</v>
      </c>
      <c r="O63" t="str">
        <v/>
      </c>
      <c r="P63" t="str">
        <v/>
      </c>
      <c r="Q63">
        <v>1380</v>
      </c>
      <c r="R63">
        <v>252</v>
      </c>
    </row>
    <row r="64">
      <c r="A64" t="str">
        <v>V90</v>
      </c>
      <c r="B64" t="str">
        <v>heure de grue disponible(de l'entreprise générale)</v>
      </c>
      <c r="C64" t="str">
        <v>h</v>
      </c>
      <c r="D64">
        <v>0</v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Faible</v>
      </c>
      <c r="N64" t="str">
        <v>Manutention (grue)</v>
      </c>
      <c r="O64" t="str">
        <v/>
      </c>
      <c r="P64" t="str">
        <v/>
      </c>
      <c r="Q64">
        <v>1549</v>
      </c>
      <c r="R64">
        <v>246</v>
      </c>
    </row>
    <row r="65">
      <c r="A65" t="str">
        <v>V91</v>
      </c>
      <c r="B65" t="str">
        <v>Distance entre site et atelier de pord</v>
      </c>
      <c r="C65" t="str">
        <v>km</v>
      </c>
      <c r="D65">
        <v>40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Moyenne</v>
      </c>
      <c r="N65" t="str">
        <v>Transport &amp; Logistique</v>
      </c>
      <c r="O65" t="str">
        <v/>
      </c>
      <c r="P65" t="str">
        <v/>
      </c>
      <c r="Q65">
        <v>-77</v>
      </c>
      <c r="R65">
        <v>192</v>
      </c>
    </row>
    <row r="66">
      <c r="A66" t="str">
        <v>V92</v>
      </c>
      <c r="B66" t="str">
        <v>Durée de trajet entre site et atelier</v>
      </c>
      <c r="C66" t="str">
        <v>h</v>
      </c>
      <c r="D66">
        <v>0.5</v>
      </c>
      <c r="E66" t="str">
        <v/>
      </c>
      <c r="F66" t="str">
        <v/>
      </c>
      <c r="G66" t="str">
        <v>V91/V120</v>
      </c>
      <c r="H66">
        <f>D65/D94</f>
      </c>
      <c r="I66" t="str">
        <v/>
      </c>
      <c r="J66" t="str">
        <v/>
      </c>
      <c r="K66" t="str">
        <v/>
      </c>
      <c r="L66" t="str">
        <v/>
      </c>
      <c r="M66" t="str">
        <v>Moyenne</v>
      </c>
      <c r="N66" t="str">
        <v>Transport &amp; Logistique</v>
      </c>
      <c r="O66" t="str">
        <v/>
      </c>
      <c r="P66" t="str">
        <v/>
      </c>
      <c r="Q66">
        <v>106</v>
      </c>
      <c r="R66">
        <v>-297</v>
      </c>
    </row>
    <row r="67">
      <c r="A67" t="str">
        <v>V93</v>
      </c>
      <c r="B67" t="str">
        <v>Nombre d'heure travaillé/jour</v>
      </c>
      <c r="C67" t="str">
        <v>h/j</v>
      </c>
      <c r="D67">
        <v>8</v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>
        <v>10</v>
      </c>
      <c r="M67" t="str">
        <v>Faible</v>
      </c>
      <c r="N67" t="str">
        <v>Chantier / Pose</v>
      </c>
      <c r="O67" t="str">
        <v/>
      </c>
      <c r="P67" t="str">
        <v/>
      </c>
      <c r="Q67">
        <v>1116</v>
      </c>
      <c r="R67">
        <v>509</v>
      </c>
    </row>
    <row r="68">
      <c r="A68" t="str">
        <v>V94</v>
      </c>
      <c r="B68" t="str">
        <v>Indice d'attractivité/ Emission carbone</v>
      </c>
      <c r="C68" t="str">
        <v>ratio (sans unité)</v>
      </c>
      <c r="D68">
        <v>1</v>
      </c>
      <c r="E68" t="str">
        <v/>
      </c>
      <c r="F68" t="str">
        <v/>
      </c>
      <c r="G68" t="str">
        <v>V16/V115</v>
      </c>
      <c r="H68">
        <f>D15/D89</f>
      </c>
      <c r="I68" t="str">
        <v/>
      </c>
      <c r="J68" t="str">
        <v/>
      </c>
      <c r="K68" t="str">
        <v/>
      </c>
      <c r="L68" t="str">
        <v/>
      </c>
      <c r="M68" t="str">
        <v>Élevée</v>
      </c>
      <c r="N68" t="str">
        <v>Résultats / Indicateurs</v>
      </c>
      <c r="O68" t="str">
        <v>ne fonctionne pas</v>
      </c>
      <c r="P68" t="str">
        <v/>
      </c>
      <c r="Q68">
        <v>1496</v>
      </c>
      <c r="R68">
        <v>600</v>
      </c>
    </row>
    <row r="69">
      <c r="A69" t="str">
        <v>V95</v>
      </c>
      <c r="B69" t="str">
        <v>Classement de réaction au feu de l'isolant</v>
      </c>
      <c r="C69" t="str">
        <v/>
      </c>
      <c r="D69">
        <v>6</v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Élevée</v>
      </c>
      <c r="N69" t="str">
        <v>Caractéristique de l'isolant</v>
      </c>
      <c r="O69" t="str">
        <v>Classement : A1,A2,B,C,D,E,F</v>
      </c>
      <c r="P69" t="str">
        <v/>
      </c>
      <c r="Q69">
        <v>937</v>
      </c>
      <c r="R69">
        <v>454</v>
      </c>
    </row>
    <row r="70">
      <c r="A70" t="str">
        <v>V96</v>
      </c>
      <c r="B70" t="str">
        <v>Charge linéaire appliquée sur FOB</v>
      </c>
      <c r="C70" t="str">
        <v>kN/m</v>
      </c>
      <c r="D70">
        <v>4</v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Faible</v>
      </c>
      <c r="N70" t="str">
        <v>Caractéristiques du projet</v>
      </c>
      <c r="O70" t="str">
        <v/>
      </c>
      <c r="P70" t="str">
        <v/>
      </c>
      <c r="Q70">
        <v>413</v>
      </c>
      <c r="R70">
        <v>-497</v>
      </c>
    </row>
    <row r="71">
      <c r="A71" t="str">
        <v>V97</v>
      </c>
      <c r="B71" t="str">
        <v>Coût de Formation/FOB</v>
      </c>
      <c r="C71" t="str">
        <v>€/FOB</v>
      </c>
      <c r="D71">
        <v>3</v>
      </c>
      <c r="E71" t="str">
        <v/>
      </c>
      <c r="F71" t="str">
        <v/>
      </c>
      <c r="G71" t="str">
        <v>(V70*V28)/(V40*V98)</v>
      </c>
      <c r="H71">
        <f>(D49*D24)/(D34*D72)</f>
      </c>
      <c r="I71" t="str">
        <v/>
      </c>
      <c r="J71" t="str">
        <v/>
      </c>
      <c r="K71" t="str">
        <v/>
      </c>
      <c r="L71" t="str">
        <v/>
      </c>
      <c r="M71" t="str">
        <v>Faible</v>
      </c>
      <c r="N71" t="str">
        <v>Coûts</v>
      </c>
      <c r="O71" t="str">
        <v/>
      </c>
      <c r="P71" t="str">
        <v/>
      </c>
      <c r="Q71">
        <v>965</v>
      </c>
      <c r="R71">
        <v>780</v>
      </c>
    </row>
    <row r="72">
      <c r="A72" t="str">
        <v>V98</v>
      </c>
      <c r="B72" t="str">
        <v>Durée de validité formation</v>
      </c>
      <c r="C72" t="str">
        <v>années</v>
      </c>
      <c r="D72">
        <v>4</v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Faible</v>
      </c>
      <c r="N72" t="str">
        <v>Dangerosité de la mise en oeuvre</v>
      </c>
      <c r="O72" t="str">
        <v/>
      </c>
      <c r="P72" t="str">
        <v/>
      </c>
      <c r="Q72">
        <v>538</v>
      </c>
      <c r="R72">
        <v>1068</v>
      </c>
    </row>
    <row r="73">
      <c r="A73" t="str">
        <v>V99</v>
      </c>
      <c r="B73" t="str">
        <v>Coût horaire opérateur</v>
      </c>
      <c r="C73" t="str">
        <v>€/h</v>
      </c>
      <c r="D73">
        <v>35</v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Faible</v>
      </c>
      <c r="N73" t="str">
        <v>Coûts</v>
      </c>
      <c r="O73" t="str">
        <v/>
      </c>
      <c r="P73" t="str">
        <v/>
      </c>
      <c r="Q73">
        <v>890</v>
      </c>
      <c r="R73">
        <v>1219</v>
      </c>
    </row>
    <row r="74">
      <c r="A74" t="str">
        <v>V100</v>
      </c>
      <c r="B74" t="str">
        <v>Volume utile projet</v>
      </c>
      <c r="C74" t="str">
        <v>m³</v>
      </c>
      <c r="D74">
        <v>250</v>
      </c>
      <c r="E74" t="str">
        <v/>
      </c>
      <c r="F74" t="str">
        <v/>
      </c>
      <c r="G74" t="str">
        <v>V73*V101</v>
      </c>
      <c r="H74">
        <f>D52*D75</f>
      </c>
      <c r="I74" t="str">
        <v/>
      </c>
      <c r="J74" t="str">
        <v/>
      </c>
      <c r="K74" t="str">
        <v/>
      </c>
      <c r="L74" t="str">
        <v/>
      </c>
      <c r="M74" t="str">
        <v>Faible</v>
      </c>
      <c r="N74" t="str">
        <v>Caractéristiques du projet</v>
      </c>
      <c r="O74" t="str">
        <v/>
      </c>
      <c r="P74" t="str">
        <v/>
      </c>
      <c r="Q74">
        <v>993</v>
      </c>
      <c r="R74">
        <v>-578</v>
      </c>
    </row>
    <row r="75">
      <c r="A75" t="str">
        <v>V101</v>
      </c>
      <c r="B75" t="str">
        <v>Surface habitable</v>
      </c>
      <c r="C75" t="str">
        <v>m²</v>
      </c>
      <c r="D75">
        <v>100</v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Faible</v>
      </c>
      <c r="N75" t="str">
        <v>Caractéristiques du projet</v>
      </c>
      <c r="O75" t="str">
        <v/>
      </c>
      <c r="P75" t="str">
        <v/>
      </c>
      <c r="Q75">
        <v>1125</v>
      </c>
      <c r="R75">
        <v>-322</v>
      </c>
    </row>
    <row r="76">
      <c r="A76" t="str">
        <v>V102</v>
      </c>
      <c r="B76" t="str">
        <v>Densité du bois</v>
      </c>
      <c r="C76" t="str">
        <v>kg/m³</v>
      </c>
      <c r="D76">
        <v>600</v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Faible</v>
      </c>
      <c r="N76" t="str">
        <v>Caractéristiques du MOB</v>
      </c>
      <c r="O76" t="str">
        <v/>
      </c>
      <c r="P76" t="str">
        <v/>
      </c>
      <c r="Q76">
        <v>274</v>
      </c>
      <c r="R76">
        <v>-229</v>
      </c>
    </row>
    <row r="77">
      <c r="A77" t="str">
        <v>V103</v>
      </c>
      <c r="B77" t="str">
        <v>Temps de mise en oeuvre de l'ossature</v>
      </c>
      <c r="C77" t="str">
        <v>ml/h</v>
      </c>
      <c r="D77">
        <v>60</v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Faible</v>
      </c>
      <c r="N77" t="str">
        <v>Caractéristiques du MOB</v>
      </c>
      <c r="O77" t="str">
        <v/>
      </c>
      <c r="P77" t="str">
        <v/>
      </c>
      <c r="Q77">
        <v>1071</v>
      </c>
      <c r="R77">
        <v>33</v>
      </c>
    </row>
    <row r="78">
      <c r="A78" t="str">
        <v>V104</v>
      </c>
      <c r="B78" t="str">
        <v>Capacité charge camion</v>
      </c>
      <c r="C78" t="str">
        <v>kg</v>
      </c>
      <c r="D78">
        <v>30000</v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Faible</v>
      </c>
      <c r="N78" t="str">
        <v>Transport &amp; Logistique</v>
      </c>
      <c r="O78" t="str">
        <v/>
      </c>
      <c r="P78" t="str">
        <v/>
      </c>
      <c r="Q78">
        <v>19</v>
      </c>
      <c r="R78">
        <v>345</v>
      </c>
    </row>
    <row r="79">
      <c r="A79" t="str">
        <v>V105</v>
      </c>
      <c r="B79" t="str">
        <v>Conductivité thermique du bois</v>
      </c>
      <c r="C79" t="str">
        <v>W/(m·K)</v>
      </c>
      <c r="D79">
        <v>0.15</v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Faible</v>
      </c>
      <c r="N79" t="str">
        <v>Caractéristiques du MOB</v>
      </c>
      <c r="O79" t="str">
        <v/>
      </c>
      <c r="P79" t="str">
        <v/>
      </c>
      <c r="Q79">
        <v>535</v>
      </c>
      <c r="R79">
        <v>184</v>
      </c>
    </row>
    <row r="80">
      <c r="A80" t="str">
        <v>V106</v>
      </c>
      <c r="B80" t="str">
        <v>Espacement entre montant</v>
      </c>
      <c r="C80" t="str">
        <v>m</v>
      </c>
      <c r="D80">
        <v>0.6</v>
      </c>
      <c r="E80" t="str">
        <v/>
      </c>
      <c r="F80" t="str">
        <v/>
      </c>
      <c r="G80" t="str">
        <v>V58/arrondi.sup(V96*V58/((((V17*(V59*10^3)^3)/12)*3.14^2*11000)*10^-3/(V57*10^3)^2),0)</v>
      </c>
      <c r="H80">
        <f>D43/arrondi.sup(D70*D43/((((D16*(D44*10^3)^3)/12)*3.14^2*11000)*10^-3/(D42*10^3)^2),0)</f>
      </c>
      <c r="I80" t="str">
        <v/>
      </c>
      <c r="J80" t="str">
        <v/>
      </c>
      <c r="K80">
        <v>0.2</v>
      </c>
      <c r="L80">
        <v>0.6</v>
      </c>
      <c r="M80" t="str">
        <v>Faible</v>
      </c>
      <c r="N80" t="str">
        <v>Caractéristiques du MOB</v>
      </c>
      <c r="O80" t="str">
        <v/>
      </c>
      <c r="P80" t="str">
        <v/>
      </c>
      <c r="Q80">
        <v>311</v>
      </c>
      <c r="R80">
        <v>-57</v>
      </c>
    </row>
    <row r="81">
      <c r="A81" t="str">
        <v>V107</v>
      </c>
      <c r="B81" t="str">
        <v>Surface de montant</v>
      </c>
      <c r="C81" t="str">
        <v>m²</v>
      </c>
      <c r="D81">
        <v>1</v>
      </c>
      <c r="E81" t="str">
        <v/>
      </c>
      <c r="F81" t="str">
        <v/>
      </c>
      <c r="G81" t="str">
        <v>V76*V59</v>
      </c>
      <c r="H81">
        <f>D55*D44</f>
      </c>
      <c r="I81" t="str">
        <v/>
      </c>
      <c r="J81" t="str">
        <v/>
      </c>
      <c r="K81" t="str">
        <v/>
      </c>
      <c r="L81" t="str">
        <v/>
      </c>
      <c r="M81" t="str">
        <v>Moyenne</v>
      </c>
      <c r="N81" t="str">
        <v>Caractéristiques du MOB</v>
      </c>
      <c r="O81" t="str">
        <v/>
      </c>
      <c r="P81" t="str">
        <v/>
      </c>
      <c r="Q81">
        <v>183</v>
      </c>
      <c r="R81">
        <v>50</v>
      </c>
    </row>
    <row r="82">
      <c r="A82" t="str">
        <v>V108</v>
      </c>
      <c r="B82" t="str">
        <v>Bbio</v>
      </c>
      <c r="C82" t="str">
        <v>Point</v>
      </c>
      <c r="D82">
        <v>50</v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Moyenne</v>
      </c>
      <c r="N82" t="str">
        <v>Caractéristiques du projet</v>
      </c>
      <c r="O82" t="str">
        <v/>
      </c>
      <c r="P82" t="str">
        <v/>
      </c>
      <c r="Q82">
        <v>957</v>
      </c>
      <c r="R82">
        <v>-88</v>
      </c>
    </row>
    <row r="83">
      <c r="A83" t="str">
        <v>V109</v>
      </c>
      <c r="B83" t="str">
        <v>Ponts thermiques</v>
      </c>
      <c r="C83" t="str">
        <v>W</v>
      </c>
      <c r="D83" t="str">
        <v/>
      </c>
      <c r="E83" t="str">
        <v/>
      </c>
      <c r="F83" t="str">
        <v/>
      </c>
      <c r="G83" t="str">
        <v>V122*V123*V75</v>
      </c>
      <c r="H83">
        <f>D96*D97*D54</f>
      </c>
      <c r="I83" t="str">
        <v/>
      </c>
      <c r="J83" t="str">
        <v/>
      </c>
      <c r="K83" t="str">
        <v/>
      </c>
      <c r="L83" t="str">
        <v/>
      </c>
      <c r="M83" t="str">
        <v>Moyenne</v>
      </c>
      <c r="N83" t="str">
        <v>Caractéristiques du projet</v>
      </c>
      <c r="O83" t="str">
        <v/>
      </c>
      <c r="P83" t="str">
        <v/>
      </c>
      <c r="Q83">
        <v>565</v>
      </c>
      <c r="R83">
        <v>-604</v>
      </c>
    </row>
    <row r="84">
      <c r="A84" t="str">
        <v>V110</v>
      </c>
      <c r="B84" t="str">
        <v>Besoin chauffage/refroidissement</v>
      </c>
      <c r="C84" t="str">
        <v>Point</v>
      </c>
      <c r="D84">
        <v>11</v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Faible</v>
      </c>
      <c r="N84" t="str">
        <v>Caractéristiques du projet</v>
      </c>
      <c r="O84" t="str">
        <v/>
      </c>
      <c r="P84" t="str">
        <v/>
      </c>
      <c r="Q84">
        <v>897</v>
      </c>
      <c r="R84">
        <v>-410</v>
      </c>
    </row>
    <row r="85">
      <c r="A85" t="str">
        <v>V111</v>
      </c>
      <c r="B85" t="str">
        <v>Déperditions</v>
      </c>
      <c r="C85" t="str">
        <v>W</v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Faible</v>
      </c>
      <c r="N85" t="str">
        <v>Caractéristiques du projet</v>
      </c>
      <c r="O85" t="str">
        <v/>
      </c>
      <c r="P85" t="str">
        <v/>
      </c>
      <c r="Q85">
        <v>837</v>
      </c>
      <c r="R85">
        <v>-593</v>
      </c>
    </row>
    <row r="86">
      <c r="A86" t="str">
        <v>V112</v>
      </c>
      <c r="B86" t="str">
        <v>Chaleur perdue par renouvellement d'air</v>
      </c>
      <c r="C86" t="str">
        <v>W</v>
      </c>
      <c r="D86">
        <v>2000</v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Faible</v>
      </c>
      <c r="N86" t="str">
        <v>Caractéristiques du projet</v>
      </c>
      <c r="O86" t="str">
        <v/>
      </c>
      <c r="P86" t="str">
        <v/>
      </c>
      <c r="Q86">
        <v>929</v>
      </c>
      <c r="R86">
        <v>-736</v>
      </c>
    </row>
    <row r="87">
      <c r="A87" t="str">
        <v>V113</v>
      </c>
      <c r="B87" t="str">
        <v>Besoin d'éclairage</v>
      </c>
      <c r="C87" t="str">
        <v>Point</v>
      </c>
      <c r="D87">
        <v>5</v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Faible</v>
      </c>
      <c r="N87" t="str">
        <v>Caractéristiques du projet</v>
      </c>
      <c r="O87" t="str">
        <v/>
      </c>
      <c r="P87" t="str">
        <v/>
      </c>
      <c r="Q87">
        <v>404</v>
      </c>
      <c r="R87">
        <v>-328</v>
      </c>
    </row>
    <row r="88">
      <c r="A88" t="str">
        <v>V114</v>
      </c>
      <c r="B88" t="str">
        <v>Conductivité thermique de l'isolant</v>
      </c>
      <c r="C88" t="str">
        <v>W/(m·K)</v>
      </c>
      <c r="D88">
        <v>0.036</v>
      </c>
      <c r="E88" t="str">
        <v/>
      </c>
      <c r="F88" t="str">
        <v/>
      </c>
      <c r="G88" t="str">
        <v>V17*10^-3/V115</v>
      </c>
      <c r="H88">
        <f>D16*10^-3/D89</f>
      </c>
      <c r="I88" t="str">
        <v/>
      </c>
      <c r="J88" t="str">
        <v/>
      </c>
      <c r="K88" t="str">
        <v/>
      </c>
      <c r="L88" t="str">
        <v/>
      </c>
      <c r="M88" t="str">
        <v>Élevée</v>
      </c>
      <c r="N88" t="str">
        <v>Caractéristique de l'isolant</v>
      </c>
      <c r="O88" t="str">
        <v/>
      </c>
      <c r="P88" t="str">
        <v/>
      </c>
      <c r="Q88">
        <v>85</v>
      </c>
      <c r="R88">
        <v>772</v>
      </c>
    </row>
    <row r="89">
      <c r="A89" t="str">
        <v>V115</v>
      </c>
      <c r="B89" t="str">
        <v>Résistance thermique de l'isolant</v>
      </c>
      <c r="C89" t="str">
        <v>m².K/W</v>
      </c>
      <c r="D89">
        <v>0.03</v>
      </c>
      <c r="E89" t="str">
        <v/>
      </c>
      <c r="F89" t="str">
        <v/>
      </c>
      <c r="G89" t="str">
        <v>V17*10^-3/V114</v>
      </c>
      <c r="H89">
        <f>D16*10^-3/D88</f>
      </c>
      <c r="I89" t="str">
        <v/>
      </c>
      <c r="J89" t="str">
        <v/>
      </c>
      <c r="K89" t="str">
        <v/>
      </c>
      <c r="L89" t="str">
        <v/>
      </c>
      <c r="M89" t="str">
        <v>Élevée</v>
      </c>
      <c r="N89" t="str">
        <v>Caractéristique de l'isolant</v>
      </c>
      <c r="O89" t="str">
        <v/>
      </c>
      <c r="P89" t="str">
        <v/>
      </c>
      <c r="Q89">
        <v>-59</v>
      </c>
      <c r="R89">
        <v>654</v>
      </c>
    </row>
    <row r="90">
      <c r="A90" t="str">
        <v>V116</v>
      </c>
      <c r="B90" t="str">
        <v>Surface d'isolant de déchet produit/FOB</v>
      </c>
      <c r="C90" t="str">
        <v>m²/FOB</v>
      </c>
      <c r="D90">
        <v>0.5</v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Faible</v>
      </c>
      <c r="N90" t="str">
        <v>Carbone &amp; Déchets</v>
      </c>
      <c r="O90" t="str">
        <v/>
      </c>
      <c r="P90" t="str">
        <v/>
      </c>
      <c r="Q90">
        <v>509</v>
      </c>
      <c r="R90">
        <v>521</v>
      </c>
    </row>
    <row r="91">
      <c r="A91" t="str">
        <v>V117</v>
      </c>
      <c r="B91" t="str">
        <v>Distance entre la grue et point de pose du FOB</v>
      </c>
      <c r="C91" t="str">
        <v>m</v>
      </c>
      <c r="D91">
        <v>20</v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Faible</v>
      </c>
      <c r="N91" t="str">
        <v>Manutention (grue)</v>
      </c>
      <c r="O91" t="str">
        <v/>
      </c>
      <c r="P91" t="str">
        <v/>
      </c>
      <c r="Q91">
        <v>1524</v>
      </c>
      <c r="R91">
        <v>66</v>
      </c>
    </row>
    <row r="92">
      <c r="A92" t="str">
        <v>V118</v>
      </c>
      <c r="B92" t="str">
        <v>Hauteur entre la grue et point de pose du FOB</v>
      </c>
      <c r="C92" t="str">
        <v>m</v>
      </c>
      <c r="D92">
        <v>5</v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Faible</v>
      </c>
      <c r="N92" t="str">
        <v>Manutention (grue)</v>
      </c>
      <c r="O92" t="str">
        <v/>
      </c>
      <c r="P92" t="str">
        <v/>
      </c>
      <c r="Q92">
        <v>1401</v>
      </c>
      <c r="R92">
        <v>-75</v>
      </c>
    </row>
    <row r="93">
      <c r="A93" t="str">
        <v>V119</v>
      </c>
      <c r="B93" t="str">
        <v>Durée de cycle (grue/pose/sécurité)</v>
      </c>
      <c r="C93" t="str">
        <v>h</v>
      </c>
      <c r="D93">
        <v>0.15</v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Moyenne</v>
      </c>
      <c r="N93" t="str">
        <v>Manutention (grue)</v>
      </c>
      <c r="O93" t="str">
        <v/>
      </c>
      <c r="P93" t="str">
        <v/>
      </c>
      <c r="Q93">
        <v>1624</v>
      </c>
      <c r="R93">
        <v>424</v>
      </c>
    </row>
    <row r="94">
      <c r="A94" t="str">
        <v>V120</v>
      </c>
      <c r="B94" t="str">
        <v>Vitesse de déplacement camion</v>
      </c>
      <c r="C94" t="str">
        <v>km/h</v>
      </c>
      <c r="D94">
        <v>45</v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Faible</v>
      </c>
      <c r="N94" t="str">
        <v>Transport &amp; Logistique</v>
      </c>
      <c r="O94" t="str">
        <v/>
      </c>
      <c r="P94" t="str">
        <v/>
      </c>
      <c r="Q94">
        <v>-145</v>
      </c>
      <c r="R94">
        <v>31</v>
      </c>
    </row>
    <row r="95">
      <c r="A95" t="str">
        <v>V121</v>
      </c>
      <c r="B95" t="str">
        <v>Temps de chargement à l'atelier</v>
      </c>
      <c r="C95" t="str">
        <v>h</v>
      </c>
      <c r="D95">
        <v>1</v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Faible</v>
      </c>
      <c r="N95" t="str">
        <v>Transport &amp; Logistique</v>
      </c>
      <c r="O95" t="str">
        <v/>
      </c>
      <c r="P95" t="str">
        <v/>
      </c>
      <c r="Q95">
        <v>1022</v>
      </c>
      <c r="R95">
        <v>199</v>
      </c>
    </row>
    <row r="96">
      <c r="A96" t="str">
        <v>V122</v>
      </c>
      <c r="B96" t="str">
        <v>différence de température INT/EXT</v>
      </c>
      <c r="C96" t="str">
        <v/>
      </c>
      <c r="D96">
        <v>10</v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Faible</v>
      </c>
      <c r="N96" t="str">
        <v>Caractéristiques du projet</v>
      </c>
      <c r="O96" t="str">
        <v/>
      </c>
      <c r="P96" t="str">
        <v/>
      </c>
      <c r="Q96">
        <v>706</v>
      </c>
      <c r="R96">
        <v>-354</v>
      </c>
    </row>
    <row r="97">
      <c r="A97" t="str">
        <v>V123</v>
      </c>
      <c r="B97" t="str">
        <v>Coef pont thermique</v>
      </c>
      <c r="C97" t="str">
        <v>W/(m·K)</v>
      </c>
      <c r="D97">
        <v>0.75</v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Faible</v>
      </c>
      <c r="N97" t="str">
        <v>Caractéristiques du projet</v>
      </c>
      <c r="O97" t="str">
        <v/>
      </c>
      <c r="P97" t="str">
        <v/>
      </c>
      <c r="Q97">
        <v>979</v>
      </c>
      <c r="R97">
        <v>-238</v>
      </c>
    </row>
    <row r="98">
      <c r="A98" t="str">
        <v>V124</v>
      </c>
      <c r="B98" t="str">
        <v>Durée d'utilisation EPI</v>
      </c>
      <c r="C98" t="str">
        <v>h</v>
      </c>
      <c r="D98">
        <v>8</v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Faible</v>
      </c>
      <c r="N98" t="str">
        <v>Dangerosité de la mise en oeuvre</v>
      </c>
      <c r="O98" t="str">
        <v/>
      </c>
      <c r="P98" t="str">
        <v/>
      </c>
      <c r="Q98">
        <v>413</v>
      </c>
      <c r="R98">
        <v>1212</v>
      </c>
    </row>
    <row r="99">
      <c r="A99" t="str">
        <v>V125</v>
      </c>
      <c r="B99" t="str">
        <v>Durée amortissement camions</v>
      </c>
      <c r="C99" t="str">
        <v>années</v>
      </c>
      <c r="D99">
        <v>20</v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Moyenne</v>
      </c>
      <c r="N99" t="str">
        <v>Transport &amp; Logistique</v>
      </c>
      <c r="O99" t="str">
        <v/>
      </c>
      <c r="P99" t="str">
        <v/>
      </c>
      <c r="Q99">
        <v>704</v>
      </c>
      <c r="R99">
        <v>250</v>
      </c>
    </row>
    <row r="100">
      <c r="A100" t="str">
        <v>V126</v>
      </c>
      <c r="B100" t="str">
        <v>Prix camion</v>
      </c>
      <c r="C100" t="str">
        <v>€</v>
      </c>
      <c r="D100">
        <v>100000</v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Moyenne</v>
      </c>
      <c r="N100" t="str">
        <v>Transport &amp; Logistique</v>
      </c>
      <c r="O100" t="str">
        <v/>
      </c>
      <c r="P100" t="str">
        <v/>
      </c>
      <c r="Q100">
        <v>222</v>
      </c>
      <c r="R100">
        <v>670</v>
      </c>
    </row>
    <row r="101">
      <c r="A101" t="str">
        <v>V127</v>
      </c>
      <c r="B101" t="str">
        <v>Coût carburant/km</v>
      </c>
      <c r="C101" t="str">
        <v>€/km</v>
      </c>
      <c r="D101">
        <v>0.6</v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Moyenne</v>
      </c>
      <c r="N101" t="str">
        <v>Transport &amp; Logistique</v>
      </c>
      <c r="O101" t="str">
        <v/>
      </c>
      <c r="P101" t="str">
        <v/>
      </c>
      <c r="Q101">
        <v>202</v>
      </c>
      <c r="R101">
        <v>347</v>
      </c>
    </row>
  </sheetData>
  <ignoredErrors>
    <ignoredError numberStoredAsText="1" sqref="A1:R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94"/>
  <sheetViews>
    <sheetView workbookViewId="0"/>
  </sheetViews>
  <sheetData>
    <row r="1">
      <c r="A1" t="str">
        <v>ID</v>
      </c>
      <c r="B1" t="str">
        <v>Source (ID)</v>
      </c>
      <c r="C1" t="str">
        <v>Cible (ID)</v>
      </c>
      <c r="D1" t="str">
        <v>Polarité (+/-)</v>
      </c>
      <c r="E1" t="str">
        <v>Interprétation</v>
      </c>
      <c r="F1" t="str">
        <v>Force (Faible/Moyenne/Élevée)</v>
      </c>
      <c r="G1" t="str">
        <v>Délai (oui/non)</v>
      </c>
      <c r="H1" t="str">
        <v>Délai (quantité)</v>
      </c>
      <c r="I1" t="str">
        <v>Délai (unité : h/j/sem/mois)</v>
      </c>
      <c r="J1" t="str">
        <v>Indication particulière</v>
      </c>
    </row>
    <row r="2">
      <c r="A2" t="str">
        <v>L1</v>
      </c>
      <c r="B2" t="str">
        <v>V8</v>
      </c>
      <c r="C2" t="str">
        <v>V1</v>
      </c>
      <c r="D2" t="str">
        <v>-?</v>
      </c>
      <c r="E2" t="str">
        <v/>
      </c>
      <c r="F2" t="str">
        <v>Moyenne</v>
      </c>
      <c r="G2" t="str">
        <v>Non</v>
      </c>
      <c r="H2" t="str">
        <v/>
      </c>
      <c r="I2" t="str">
        <v>j</v>
      </c>
      <c r="J2" t="str">
        <v/>
      </c>
    </row>
    <row r="3">
      <c r="A3" t="str">
        <v>L3</v>
      </c>
      <c r="B3" t="str">
        <v>V21</v>
      </c>
      <c r="C3" t="str">
        <v>V1</v>
      </c>
      <c r="D3" t="str">
        <v>-?</v>
      </c>
      <c r="E3" t="str">
        <v/>
      </c>
      <c r="F3" t="str">
        <v>Moyenne</v>
      </c>
      <c r="G3" t="str">
        <v>Non</v>
      </c>
      <c r="H3" t="str">
        <v/>
      </c>
      <c r="I3" t="str">
        <v>j</v>
      </c>
      <c r="J3" t="str">
        <v/>
      </c>
    </row>
    <row r="4">
      <c r="A4" t="str">
        <v>L5</v>
      </c>
      <c r="B4" t="str">
        <v>V22</v>
      </c>
      <c r="C4" t="str">
        <v>V2</v>
      </c>
      <c r="D4" t="str">
        <v>-?</v>
      </c>
      <c r="E4" t="str">
        <v/>
      </c>
      <c r="F4" t="str">
        <v>Moyenne</v>
      </c>
      <c r="G4" t="str">
        <v>Non</v>
      </c>
      <c r="H4" t="str">
        <v/>
      </c>
      <c r="I4" t="str">
        <v>j</v>
      </c>
      <c r="J4" t="str">
        <v/>
      </c>
    </row>
    <row r="5">
      <c r="A5" t="str">
        <v>L11</v>
      </c>
      <c r="B5" t="str">
        <v>V11</v>
      </c>
      <c r="C5" t="str">
        <v>V3</v>
      </c>
      <c r="D5" t="str">
        <v>+?</v>
      </c>
      <c r="E5" t="str">
        <v/>
      </c>
      <c r="F5" t="str">
        <v>Élevée</v>
      </c>
      <c r="G5" t="str">
        <v>Non</v>
      </c>
      <c r="H5" t="str">
        <v/>
      </c>
      <c r="I5" t="str">
        <v>j</v>
      </c>
      <c r="J5" t="str">
        <v/>
      </c>
    </row>
    <row r="6">
      <c r="A6" t="str">
        <v>L12</v>
      </c>
      <c r="B6" t="str">
        <v>V28</v>
      </c>
      <c r="C6" t="str">
        <v>V3</v>
      </c>
      <c r="D6" t="str">
        <v>+?</v>
      </c>
      <c r="E6" t="str">
        <v/>
      </c>
      <c r="F6" t="str">
        <v>Élevée</v>
      </c>
      <c r="G6" t="str">
        <v>Non</v>
      </c>
      <c r="H6" t="str">
        <v/>
      </c>
      <c r="I6" t="str">
        <v>j</v>
      </c>
      <c r="J6" t="str">
        <v/>
      </c>
    </row>
    <row r="7">
      <c r="A7" t="str">
        <v>L13</v>
      </c>
      <c r="B7" t="str">
        <v>V41</v>
      </c>
      <c r="C7" t="str">
        <v>V3</v>
      </c>
      <c r="D7" t="str">
        <v>-?</v>
      </c>
      <c r="E7" t="str">
        <v/>
      </c>
      <c r="F7" t="str">
        <v>Moyenne</v>
      </c>
      <c r="G7" t="str">
        <v>Non</v>
      </c>
      <c r="H7" t="str">
        <v/>
      </c>
      <c r="I7" t="str">
        <v>j</v>
      </c>
      <c r="J7" t="str">
        <v/>
      </c>
    </row>
    <row r="8">
      <c r="A8" t="str">
        <v>L14</v>
      </c>
      <c r="B8" t="str">
        <v>V42</v>
      </c>
      <c r="C8" t="str">
        <v>V3</v>
      </c>
      <c r="D8" t="str">
        <v>-?</v>
      </c>
      <c r="E8" t="str">
        <v/>
      </c>
      <c r="F8" t="str">
        <v>Moyenne</v>
      </c>
      <c r="G8" t="str">
        <v>Non</v>
      </c>
      <c r="H8" t="str">
        <v/>
      </c>
      <c r="I8" t="str">
        <v>j</v>
      </c>
      <c r="J8" t="str">
        <v/>
      </c>
    </row>
    <row r="9">
      <c r="A9" t="str">
        <v>L17</v>
      </c>
      <c r="B9" t="str">
        <v>V24</v>
      </c>
      <c r="C9" t="str">
        <v>V7</v>
      </c>
      <c r="D9" t="str">
        <v>+</v>
      </c>
      <c r="E9" t="str">
        <v/>
      </c>
      <c r="F9" t="str">
        <v>Élevée</v>
      </c>
      <c r="G9" t="str">
        <v>Non</v>
      </c>
      <c r="H9" t="str">
        <v/>
      </c>
      <c r="I9" t="str">
        <v>j</v>
      </c>
      <c r="J9" t="str">
        <v/>
      </c>
    </row>
    <row r="10">
      <c r="A10" t="str">
        <v>L19</v>
      </c>
      <c r="B10" t="str">
        <v>V10</v>
      </c>
      <c r="C10" t="str">
        <v>V7</v>
      </c>
      <c r="D10" t="str">
        <v>+</v>
      </c>
      <c r="E10" t="str">
        <v/>
      </c>
      <c r="F10" t="str">
        <v>Élevée</v>
      </c>
      <c r="G10" t="str">
        <v>Non</v>
      </c>
      <c r="H10" t="str">
        <v/>
      </c>
      <c r="I10" t="str">
        <v>j</v>
      </c>
      <c r="J10" t="str">
        <v/>
      </c>
    </row>
    <row r="11">
      <c r="A11" t="str">
        <v>L20</v>
      </c>
      <c r="B11" t="str">
        <v>V30</v>
      </c>
      <c r="C11" t="str">
        <v>V7</v>
      </c>
      <c r="D11" t="str">
        <v>+</v>
      </c>
      <c r="E11" t="str">
        <v/>
      </c>
      <c r="F11" t="str">
        <v>Moyenne</v>
      </c>
      <c r="G11" t="str">
        <v>Non</v>
      </c>
      <c r="H11" t="str">
        <v/>
      </c>
      <c r="I11" t="str">
        <v>j</v>
      </c>
      <c r="J11" t="str">
        <v/>
      </c>
    </row>
    <row r="12">
      <c r="A12" t="str">
        <v>L21</v>
      </c>
      <c r="B12" t="str">
        <v>V3</v>
      </c>
      <c r="C12" t="str">
        <v>V7</v>
      </c>
      <c r="D12" t="str">
        <v>+</v>
      </c>
      <c r="E12" t="str">
        <v/>
      </c>
      <c r="F12" t="str">
        <v>Moyenne</v>
      </c>
      <c r="G12" t="str">
        <v>Non</v>
      </c>
      <c r="H12" t="str">
        <v/>
      </c>
      <c r="I12" t="str">
        <v>j</v>
      </c>
      <c r="J12" t="str">
        <v/>
      </c>
    </row>
    <row r="13">
      <c r="A13" t="str">
        <v>L22</v>
      </c>
      <c r="B13" t="str">
        <v>V6</v>
      </c>
      <c r="C13" t="str">
        <v>V8</v>
      </c>
      <c r="D13" t="str">
        <v>+</v>
      </c>
      <c r="E13" t="str">
        <v/>
      </c>
      <c r="F13" t="str">
        <v>Élevée</v>
      </c>
      <c r="G13" t="str">
        <v>Non</v>
      </c>
      <c r="H13" t="str">
        <v/>
      </c>
      <c r="I13" t="str">
        <v>j</v>
      </c>
      <c r="J13" t="str">
        <v/>
      </c>
    </row>
    <row r="14">
      <c r="A14" t="str">
        <v>L23</v>
      </c>
      <c r="B14" t="str">
        <v>V7</v>
      </c>
      <c r="C14" t="str">
        <v>V8</v>
      </c>
      <c r="D14" t="str">
        <v>+</v>
      </c>
      <c r="E14" t="str">
        <v/>
      </c>
      <c r="F14" t="str">
        <v>Élevée</v>
      </c>
      <c r="G14" t="str">
        <v>Non</v>
      </c>
      <c r="H14" t="str">
        <v/>
      </c>
      <c r="I14" t="str">
        <v>j</v>
      </c>
      <c r="J14" t="str">
        <v/>
      </c>
    </row>
    <row r="15">
      <c r="A15" t="str">
        <v>L24</v>
      </c>
      <c r="B15" t="str">
        <v>V9</v>
      </c>
      <c r="C15" t="str">
        <v>V8</v>
      </c>
      <c r="D15" t="str">
        <v>+</v>
      </c>
      <c r="E15" t="str">
        <v/>
      </c>
      <c r="F15" t="str">
        <v>Élevée</v>
      </c>
      <c r="G15" t="str">
        <v>Non</v>
      </c>
      <c r="H15" t="str">
        <v/>
      </c>
      <c r="I15" t="str">
        <v>j</v>
      </c>
      <c r="J15" t="str">
        <v/>
      </c>
    </row>
    <row r="16">
      <c r="A16" t="str">
        <v>L26</v>
      </c>
      <c r="B16" t="str">
        <v>V28</v>
      </c>
      <c r="C16" t="str">
        <v>V10</v>
      </c>
      <c r="D16" t="str">
        <v>+</v>
      </c>
      <c r="E16" t="str">
        <v/>
      </c>
      <c r="F16" t="str">
        <v>Élevée</v>
      </c>
      <c r="G16" t="str">
        <v>Non</v>
      </c>
      <c r="H16" t="str">
        <v/>
      </c>
      <c r="I16" t="str">
        <v>j</v>
      </c>
      <c r="J16" t="str">
        <v/>
      </c>
    </row>
    <row r="17">
      <c r="A17" t="str">
        <v>L28</v>
      </c>
      <c r="B17" t="str">
        <v>V12</v>
      </c>
      <c r="C17" t="str">
        <v>V11</v>
      </c>
      <c r="D17" t="str">
        <v>-?</v>
      </c>
      <c r="E17" t="str">
        <v/>
      </c>
      <c r="F17" t="str">
        <v>Moyenne</v>
      </c>
      <c r="G17" t="str">
        <v>Non</v>
      </c>
      <c r="H17" t="str">
        <v/>
      </c>
      <c r="I17" t="str">
        <v>j</v>
      </c>
      <c r="J17" t="str">
        <v/>
      </c>
    </row>
    <row r="18">
      <c r="A18" t="str">
        <v>L29</v>
      </c>
      <c r="B18" t="str">
        <v>V24</v>
      </c>
      <c r="C18" t="str">
        <v>V11</v>
      </c>
      <c r="D18" t="str">
        <v>+?</v>
      </c>
      <c r="E18" t="str">
        <v/>
      </c>
      <c r="F18" t="str">
        <v>Moyenne</v>
      </c>
      <c r="G18" t="str">
        <v>Non</v>
      </c>
      <c r="H18" t="str">
        <v/>
      </c>
      <c r="I18" t="str">
        <v>j</v>
      </c>
      <c r="J18" t="str">
        <v/>
      </c>
    </row>
    <row r="19">
      <c r="A19" t="str">
        <v>L31</v>
      </c>
      <c r="B19" t="str">
        <v>V21</v>
      </c>
      <c r="C19" t="str">
        <v>V14</v>
      </c>
      <c r="D19" t="str">
        <v>+?</v>
      </c>
      <c r="E19" t="str">
        <v/>
      </c>
      <c r="F19" t="str">
        <v>Moyenne</v>
      </c>
      <c r="G19" t="str">
        <v>Non</v>
      </c>
      <c r="H19" t="str">
        <v/>
      </c>
      <c r="I19" t="str">
        <v>j</v>
      </c>
      <c r="J19" t="str">
        <v/>
      </c>
    </row>
    <row r="20">
      <c r="A20" t="str">
        <v>L34</v>
      </c>
      <c r="B20" t="str">
        <v>V16</v>
      </c>
      <c r="C20" t="str">
        <v>V15</v>
      </c>
      <c r="D20" t="str">
        <v>+</v>
      </c>
      <c r="E20" t="str">
        <v/>
      </c>
      <c r="F20" t="str">
        <v>Élevée</v>
      </c>
      <c r="G20" t="str">
        <v>Non</v>
      </c>
      <c r="H20" t="str">
        <v/>
      </c>
      <c r="I20" t="str">
        <v>j</v>
      </c>
      <c r="J20" t="str">
        <v/>
      </c>
    </row>
    <row r="21">
      <c r="A21" t="str">
        <v>L42</v>
      </c>
      <c r="B21" t="str">
        <v>V42</v>
      </c>
      <c r="C21" t="str">
        <v>V22</v>
      </c>
      <c r="D21" t="str">
        <v>+</v>
      </c>
      <c r="E21" t="str">
        <v/>
      </c>
      <c r="F21" t="str">
        <v>Élevée</v>
      </c>
      <c r="G21" t="str">
        <v>Non</v>
      </c>
      <c r="H21" t="str">
        <v/>
      </c>
      <c r="I21" t="str">
        <v>j</v>
      </c>
      <c r="J21" t="str">
        <v/>
      </c>
    </row>
    <row r="22">
      <c r="A22" t="str">
        <v>L44</v>
      </c>
      <c r="B22" t="str">
        <v>V36</v>
      </c>
      <c r="C22" t="str">
        <v>V26</v>
      </c>
      <c r="D22" t="str">
        <v>+</v>
      </c>
      <c r="E22" t="str">
        <v/>
      </c>
      <c r="F22" t="str">
        <v>Élevée</v>
      </c>
      <c r="G22" t="str">
        <v>Non</v>
      </c>
      <c r="H22" t="str">
        <v/>
      </c>
      <c r="I22" t="str">
        <v>j</v>
      </c>
      <c r="J22" t="str">
        <v/>
      </c>
    </row>
    <row r="23">
      <c r="A23" t="str">
        <v>L45</v>
      </c>
      <c r="B23" t="str">
        <v>V17</v>
      </c>
      <c r="C23" t="str">
        <v>V27</v>
      </c>
      <c r="D23" t="str">
        <v>-</v>
      </c>
      <c r="E23" t="str">
        <v/>
      </c>
      <c r="F23" t="str">
        <v>Élevée</v>
      </c>
      <c r="G23" t="str">
        <v>Non</v>
      </c>
      <c r="H23" t="str">
        <v/>
      </c>
      <c r="I23" t="str">
        <v>j</v>
      </c>
      <c r="J23" t="str">
        <v/>
      </c>
    </row>
    <row r="24">
      <c r="A24" t="str">
        <v>L49</v>
      </c>
      <c r="B24" t="str">
        <v>V13</v>
      </c>
      <c r="C24" t="str">
        <v>V30</v>
      </c>
      <c r="D24" t="str">
        <v>-?</v>
      </c>
      <c r="E24" t="str">
        <v/>
      </c>
      <c r="F24" t="str">
        <v>Élevée</v>
      </c>
      <c r="G24" t="str">
        <v>Non</v>
      </c>
      <c r="H24" t="str">
        <v/>
      </c>
      <c r="I24" t="str">
        <v>j</v>
      </c>
      <c r="J24" t="str">
        <v/>
      </c>
    </row>
    <row r="25">
      <c r="A25" t="str">
        <v>L52</v>
      </c>
      <c r="B25" t="str">
        <v>V35</v>
      </c>
      <c r="C25" t="str">
        <v>V34</v>
      </c>
      <c r="D25" t="str">
        <v>+?</v>
      </c>
      <c r="E25" t="str">
        <v/>
      </c>
      <c r="F25" t="str">
        <v>Moyenne</v>
      </c>
      <c r="G25" t="str">
        <v>Non</v>
      </c>
      <c r="H25" t="str">
        <v/>
      </c>
      <c r="I25" t="str">
        <v>j</v>
      </c>
      <c r="J25" t="str">
        <v/>
      </c>
    </row>
    <row r="26">
      <c r="A26" t="str">
        <v>L53</v>
      </c>
      <c r="B26" t="str">
        <v>V19</v>
      </c>
      <c r="C26" t="str">
        <v>V35</v>
      </c>
      <c r="D26" t="str">
        <v>+?</v>
      </c>
      <c r="E26" t="str">
        <v/>
      </c>
      <c r="F26" t="str">
        <v>Élevée</v>
      </c>
      <c r="G26" t="str">
        <v>Non</v>
      </c>
      <c r="H26" t="str">
        <v/>
      </c>
      <c r="I26" t="str">
        <v>j</v>
      </c>
      <c r="J26" t="str">
        <v/>
      </c>
    </row>
    <row r="27">
      <c r="A27" t="str">
        <v>L55</v>
      </c>
      <c r="B27" t="str">
        <v>V1</v>
      </c>
      <c r="C27" t="str">
        <v>V40</v>
      </c>
      <c r="D27" t="str">
        <v>+?</v>
      </c>
      <c r="E27" t="str">
        <v/>
      </c>
      <c r="F27" t="str">
        <v>Moyenne</v>
      </c>
      <c r="G27" t="str">
        <v>Non</v>
      </c>
      <c r="H27" t="str">
        <v/>
      </c>
      <c r="I27" t="str">
        <v>mois</v>
      </c>
      <c r="J27" t="str">
        <v/>
      </c>
    </row>
    <row r="28">
      <c r="A28" t="str">
        <v>L56</v>
      </c>
      <c r="B28" t="str">
        <v>V3</v>
      </c>
      <c r="C28" t="str">
        <v>V40</v>
      </c>
      <c r="D28" t="str">
        <v>+</v>
      </c>
      <c r="E28" t="str">
        <v/>
      </c>
      <c r="F28" t="str">
        <v>Élevée</v>
      </c>
      <c r="G28" t="str">
        <v>Non</v>
      </c>
      <c r="H28" t="str">
        <v/>
      </c>
      <c r="I28" t="str">
        <v>j</v>
      </c>
      <c r="J28" t="str">
        <v/>
      </c>
    </row>
    <row r="29">
      <c r="A29" t="str">
        <v>L57</v>
      </c>
      <c r="B29" t="str">
        <v>V17</v>
      </c>
      <c r="C29" t="str">
        <v>V41</v>
      </c>
      <c r="D29" t="str">
        <v>+</v>
      </c>
      <c r="E29" t="str">
        <v/>
      </c>
      <c r="F29" t="str">
        <v>Élevée</v>
      </c>
      <c r="G29" t="str">
        <v>Non</v>
      </c>
      <c r="H29" t="str">
        <v/>
      </c>
      <c r="I29" t="str">
        <v>j</v>
      </c>
      <c r="J29" t="str">
        <v/>
      </c>
    </row>
    <row r="30">
      <c r="A30" t="str">
        <v>L58</v>
      </c>
      <c r="B30" t="str">
        <v>V17</v>
      </c>
      <c r="C30" t="str">
        <v>V42</v>
      </c>
      <c r="D30" t="str">
        <v>+</v>
      </c>
      <c r="E30" t="str">
        <v/>
      </c>
      <c r="F30" t="str">
        <v>Élevée</v>
      </c>
      <c r="G30" t="str">
        <v>Non</v>
      </c>
      <c r="H30" t="str">
        <v/>
      </c>
      <c r="I30" t="str">
        <v>j</v>
      </c>
      <c r="J30" t="str">
        <v/>
      </c>
    </row>
    <row r="31">
      <c r="A31" t="str">
        <v>L59</v>
      </c>
      <c r="B31" t="str">
        <v>V58</v>
      </c>
      <c r="C31" t="str">
        <v>V52</v>
      </c>
      <c r="D31" t="str">
        <v>+</v>
      </c>
      <c r="E31" t="str">
        <v/>
      </c>
      <c r="F31" t="str">
        <v>Faible</v>
      </c>
      <c r="G31" t="str">
        <v>Non</v>
      </c>
      <c r="H31" t="str">
        <v/>
      </c>
      <c r="I31" t="str">
        <v>j</v>
      </c>
      <c r="J31" t="str">
        <v/>
      </c>
    </row>
    <row r="32">
      <c r="A32" t="str">
        <v>L60</v>
      </c>
      <c r="B32" t="str">
        <v>V57</v>
      </c>
      <c r="C32" t="str">
        <v>V52</v>
      </c>
      <c r="D32" t="str">
        <v>+</v>
      </c>
      <c r="E32" t="str">
        <v/>
      </c>
      <c r="F32" t="str">
        <v>Faible</v>
      </c>
      <c r="G32" t="str">
        <v>Non</v>
      </c>
      <c r="H32" t="str">
        <v/>
      </c>
      <c r="I32" t="str">
        <v>j</v>
      </c>
      <c r="J32" t="str">
        <v/>
      </c>
    </row>
    <row r="33">
      <c r="A33" t="str">
        <v>L61</v>
      </c>
      <c r="B33" t="str">
        <v>V33</v>
      </c>
      <c r="C33" t="str">
        <v>V38</v>
      </c>
      <c r="D33" t="str">
        <v>+?</v>
      </c>
      <c r="E33" t="str">
        <v/>
      </c>
      <c r="F33" t="str">
        <v>Moyenne</v>
      </c>
      <c r="G33" t="str">
        <v>Non</v>
      </c>
      <c r="H33" t="str">
        <v/>
      </c>
      <c r="I33" t="str">
        <v>j</v>
      </c>
      <c r="J33" t="str">
        <v/>
      </c>
    </row>
    <row r="34">
      <c r="A34" t="str">
        <v>L64</v>
      </c>
      <c r="B34" t="str">
        <v>V15</v>
      </c>
      <c r="C34" t="str">
        <v>V66</v>
      </c>
      <c r="D34" t="str">
        <v>+?</v>
      </c>
      <c r="E34" t="str">
        <v/>
      </c>
      <c r="F34" t="str">
        <v>Moyenne</v>
      </c>
      <c r="G34" t="str">
        <v>Non</v>
      </c>
      <c r="H34" t="str">
        <v/>
      </c>
      <c r="I34" t="str">
        <v>j</v>
      </c>
      <c r="J34" t="str">
        <v/>
      </c>
    </row>
    <row r="35">
      <c r="A35" t="str">
        <v>L65</v>
      </c>
      <c r="B35" t="str">
        <v>V66</v>
      </c>
      <c r="C35" t="str">
        <v>V56</v>
      </c>
      <c r="D35" t="str">
        <v>+?</v>
      </c>
      <c r="E35" t="str">
        <v/>
      </c>
      <c r="F35" t="str">
        <v>Moyenne</v>
      </c>
      <c r="G35" t="str">
        <v>Non</v>
      </c>
      <c r="H35" t="str">
        <v/>
      </c>
      <c r="I35" t="str">
        <v>j</v>
      </c>
      <c r="J35" t="str">
        <v/>
      </c>
    </row>
    <row r="36">
      <c r="A36" t="str">
        <v>L67</v>
      </c>
      <c r="B36" t="str">
        <v>V52</v>
      </c>
      <c r="C36" t="str">
        <v>V3</v>
      </c>
      <c r="D36" t="str">
        <v>+?</v>
      </c>
      <c r="E36" t="str">
        <v/>
      </c>
      <c r="F36" t="str">
        <v>Moyenne</v>
      </c>
      <c r="G36" t="str">
        <v>Non</v>
      </c>
      <c r="H36" t="str">
        <v/>
      </c>
      <c r="I36" t="str">
        <v>j</v>
      </c>
      <c r="J36" t="str">
        <v/>
      </c>
    </row>
    <row r="37">
      <c r="A37" t="str">
        <v>L69</v>
      </c>
      <c r="B37" t="str">
        <v>V45</v>
      </c>
      <c r="C37" t="str">
        <v>V7</v>
      </c>
      <c r="D37" t="str">
        <v>-</v>
      </c>
      <c r="E37" t="str">
        <v/>
      </c>
      <c r="F37" t="str">
        <v>Moyenne</v>
      </c>
      <c r="G37" t="str">
        <v>Non</v>
      </c>
      <c r="H37" t="str">
        <v/>
      </c>
      <c r="I37" t="str">
        <v>j</v>
      </c>
      <c r="J37" t="str">
        <v/>
      </c>
    </row>
    <row r="38">
      <c r="A38" t="str">
        <v>L70</v>
      </c>
      <c r="B38" t="str">
        <v>V40</v>
      </c>
      <c r="C38" t="str">
        <v>V45</v>
      </c>
      <c r="D38" t="str">
        <v>?</v>
      </c>
      <c r="E38" t="str">
        <v/>
      </c>
      <c r="F38" t="str">
        <v>Moyenne</v>
      </c>
      <c r="G38" t="str">
        <v>Non</v>
      </c>
      <c r="H38" t="str">
        <v/>
      </c>
      <c r="I38" t="str">
        <v>j</v>
      </c>
      <c r="J38" t="str">
        <v/>
      </c>
    </row>
    <row r="39">
      <c r="A39" t="str">
        <v>L71</v>
      </c>
      <c r="B39" t="str">
        <v>V47</v>
      </c>
      <c r="C39" t="str">
        <v>V10</v>
      </c>
      <c r="D39" t="str">
        <v>+</v>
      </c>
      <c r="E39" t="str">
        <v/>
      </c>
      <c r="F39" t="str">
        <v>Faible</v>
      </c>
      <c r="G39" t="str">
        <v>Non</v>
      </c>
      <c r="H39" t="str">
        <v/>
      </c>
      <c r="I39" t="str">
        <v>j</v>
      </c>
      <c r="J39" t="str">
        <v/>
      </c>
    </row>
    <row r="40">
      <c r="A40" t="str">
        <v>L74</v>
      </c>
      <c r="B40" t="str">
        <v>V58</v>
      </c>
      <c r="C40" t="str">
        <v>V27</v>
      </c>
      <c r="D40" t="str">
        <v>-</v>
      </c>
      <c r="E40" t="str">
        <v/>
      </c>
      <c r="F40" t="str">
        <v>Moyenne</v>
      </c>
      <c r="G40" t="str">
        <v>Non</v>
      </c>
      <c r="H40" t="str">
        <v/>
      </c>
      <c r="I40" t="str">
        <v>j</v>
      </c>
      <c r="J40" t="str">
        <v/>
      </c>
    </row>
    <row r="41">
      <c r="A41" t="str">
        <v>L75</v>
      </c>
      <c r="B41" t="str">
        <v>V60</v>
      </c>
      <c r="C41" t="str">
        <v>V27</v>
      </c>
      <c r="D41" t="str">
        <v>+</v>
      </c>
      <c r="E41" t="str">
        <v/>
      </c>
      <c r="F41" t="str">
        <v>Moyenne</v>
      </c>
      <c r="G41" t="str">
        <v>Non</v>
      </c>
      <c r="H41" t="str">
        <v/>
      </c>
      <c r="I41" t="str">
        <v>j</v>
      </c>
      <c r="J41" t="str">
        <v/>
      </c>
    </row>
    <row r="42">
      <c r="A42" t="str">
        <v>L76</v>
      </c>
      <c r="B42" t="str">
        <v>V62</v>
      </c>
      <c r="C42" t="str">
        <v>V27</v>
      </c>
      <c r="D42" t="str">
        <v>+</v>
      </c>
      <c r="E42" t="str">
        <v/>
      </c>
      <c r="F42" t="str">
        <v>Moyenne</v>
      </c>
      <c r="G42" t="str">
        <v>Non</v>
      </c>
      <c r="H42" t="str">
        <v/>
      </c>
      <c r="I42" t="str">
        <v>j</v>
      </c>
      <c r="J42" t="str">
        <v/>
      </c>
    </row>
    <row r="43">
      <c r="A43" t="str">
        <v>L78</v>
      </c>
      <c r="B43" t="str">
        <v>V52</v>
      </c>
      <c r="C43" t="str">
        <v>V41</v>
      </c>
      <c r="D43" t="str">
        <v>+</v>
      </c>
      <c r="E43" t="str">
        <v/>
      </c>
      <c r="F43" t="str">
        <v>Faible</v>
      </c>
      <c r="G43" t="str">
        <v>Non</v>
      </c>
      <c r="H43" t="str">
        <v/>
      </c>
      <c r="I43" t="str">
        <v>j</v>
      </c>
      <c r="J43" t="str">
        <v/>
      </c>
    </row>
    <row r="44">
      <c r="A44" t="str">
        <v>L84</v>
      </c>
      <c r="B44" t="str">
        <v>V42</v>
      </c>
      <c r="C44" t="str">
        <v>V22</v>
      </c>
      <c r="D44" t="str">
        <v>+</v>
      </c>
      <c r="E44" t="str">
        <v/>
      </c>
      <c r="F44" t="str">
        <v>Moyenne</v>
      </c>
      <c r="G44" t="str">
        <v>Non</v>
      </c>
      <c r="H44" t="str">
        <v/>
      </c>
      <c r="I44" t="str">
        <v>j</v>
      </c>
      <c r="J44" t="str">
        <v/>
      </c>
    </row>
    <row r="45">
      <c r="A45" t="str">
        <v>L89</v>
      </c>
      <c r="B45" t="str">
        <v>V70</v>
      </c>
      <c r="C45" t="str">
        <v>V21</v>
      </c>
      <c r="D45" t="str">
        <v>-?</v>
      </c>
      <c r="E45" t="str">
        <v/>
      </c>
      <c r="F45" t="str">
        <v>Moyenne</v>
      </c>
      <c r="G45" t="str">
        <v>Non</v>
      </c>
      <c r="H45" t="str">
        <v/>
      </c>
      <c r="I45" t="str">
        <v>j</v>
      </c>
      <c r="J45" t="str">
        <v/>
      </c>
    </row>
    <row r="46">
      <c r="A46" t="str">
        <v>L91</v>
      </c>
      <c r="B46" t="str">
        <v>V71</v>
      </c>
      <c r="C46" t="str">
        <v>V72</v>
      </c>
      <c r="D46" t="str">
        <v>+?</v>
      </c>
      <c r="E46" t="str">
        <v/>
      </c>
      <c r="F46" t="str">
        <v>Faible</v>
      </c>
      <c r="G46" t="str">
        <v>Non</v>
      </c>
      <c r="H46" t="str">
        <v/>
      </c>
      <c r="I46" t="str">
        <v>j</v>
      </c>
      <c r="J46" t="str">
        <v/>
      </c>
    </row>
    <row r="47">
      <c r="A47" t="str">
        <v>L92</v>
      </c>
      <c r="B47" t="str">
        <v>V72</v>
      </c>
      <c r="C47" t="str">
        <v>V36</v>
      </c>
      <c r="D47" t="str">
        <v>+</v>
      </c>
      <c r="E47" t="str">
        <v/>
      </c>
      <c r="F47" t="str">
        <v>Faible</v>
      </c>
      <c r="G47" t="str">
        <v>Non</v>
      </c>
      <c r="H47" t="str">
        <v/>
      </c>
      <c r="I47" t="str">
        <v>j</v>
      </c>
      <c r="J47" t="str">
        <v/>
      </c>
    </row>
    <row r="48">
      <c r="A48" t="str">
        <v>L93</v>
      </c>
      <c r="B48" t="str">
        <v>V71</v>
      </c>
      <c r="C48" t="str">
        <v>V73</v>
      </c>
      <c r="D48" t="str">
        <v>+?</v>
      </c>
      <c r="E48" t="str">
        <v/>
      </c>
      <c r="F48" t="str">
        <v>Faible</v>
      </c>
      <c r="G48" t="str">
        <v>Non</v>
      </c>
      <c r="H48" t="str">
        <v/>
      </c>
      <c r="I48" t="str">
        <v>j</v>
      </c>
      <c r="J48" t="str">
        <v/>
      </c>
    </row>
    <row r="49">
      <c r="A49" t="str">
        <v>L94</v>
      </c>
      <c r="B49" t="str">
        <v>V73</v>
      </c>
      <c r="C49" t="str">
        <v>V36</v>
      </c>
      <c r="D49" t="str">
        <v>+</v>
      </c>
      <c r="E49" t="str">
        <v/>
      </c>
      <c r="F49" t="str">
        <v>Faible</v>
      </c>
      <c r="G49" t="str">
        <v>Non</v>
      </c>
      <c r="H49" t="str">
        <v/>
      </c>
      <c r="I49" t="str">
        <v>j</v>
      </c>
      <c r="J49" t="str">
        <v/>
      </c>
    </row>
    <row r="50">
      <c r="A50" t="str">
        <v>L96</v>
      </c>
      <c r="B50" t="str">
        <v>V71</v>
      </c>
      <c r="C50" t="str">
        <v>V74</v>
      </c>
      <c r="D50" t="str">
        <v>+?</v>
      </c>
      <c r="E50" t="str">
        <v/>
      </c>
      <c r="F50" t="str">
        <v>Faible</v>
      </c>
      <c r="G50" t="str">
        <v>Non</v>
      </c>
      <c r="H50" t="str">
        <v/>
      </c>
      <c r="I50" t="str">
        <v>j</v>
      </c>
      <c r="J50" t="str">
        <v/>
      </c>
    </row>
    <row r="51">
      <c r="A51" t="str">
        <v>L98</v>
      </c>
      <c r="B51" t="str">
        <v>V75</v>
      </c>
      <c r="C51" t="str">
        <v>V76</v>
      </c>
      <c r="D51" t="str">
        <v>+?</v>
      </c>
      <c r="E51" t="str">
        <v/>
      </c>
      <c r="F51" t="str">
        <v>Faible</v>
      </c>
      <c r="G51" t="str">
        <v>Non</v>
      </c>
      <c r="H51" t="str">
        <v/>
      </c>
      <c r="I51" t="str">
        <v>j</v>
      </c>
      <c r="J51" t="str">
        <v/>
      </c>
    </row>
    <row r="52">
      <c r="A52" t="str">
        <v>L99</v>
      </c>
      <c r="B52" t="str">
        <v>V74</v>
      </c>
      <c r="C52" t="str">
        <v>V76</v>
      </c>
      <c r="D52" t="str">
        <v>+?</v>
      </c>
      <c r="E52" t="str">
        <v/>
      </c>
      <c r="F52" t="str">
        <v>Faible</v>
      </c>
      <c r="G52" t="str">
        <v>Non</v>
      </c>
      <c r="H52" t="str">
        <v/>
      </c>
      <c r="I52" t="str">
        <v>j</v>
      </c>
      <c r="J52" t="str">
        <v/>
      </c>
    </row>
    <row r="53">
      <c r="A53" t="str">
        <v>L102</v>
      </c>
      <c r="B53" t="str">
        <v>V41</v>
      </c>
      <c r="C53" t="str">
        <v>V22</v>
      </c>
      <c r="D53" t="str">
        <v>+</v>
      </c>
      <c r="E53" t="str">
        <v/>
      </c>
      <c r="F53" t="str">
        <v>Faible</v>
      </c>
      <c r="G53" t="str">
        <v>Non</v>
      </c>
      <c r="H53" t="str">
        <v/>
      </c>
      <c r="I53" t="str">
        <v>j</v>
      </c>
      <c r="J53" t="str">
        <v/>
      </c>
    </row>
    <row r="54">
      <c r="A54" t="str">
        <v>L103</v>
      </c>
      <c r="B54" t="str">
        <v>V34</v>
      </c>
      <c r="C54" t="str">
        <v>V77</v>
      </c>
      <c r="D54" t="str">
        <v>+?</v>
      </c>
      <c r="E54" t="str">
        <v/>
      </c>
      <c r="F54" t="str">
        <v>Moyenne</v>
      </c>
      <c r="G54" t="str">
        <v>Non</v>
      </c>
      <c r="H54" t="str">
        <v/>
      </c>
      <c r="I54" t="str">
        <v>j</v>
      </c>
      <c r="J54" t="str">
        <v/>
      </c>
    </row>
    <row r="55">
      <c r="A55" t="str">
        <v>L104</v>
      </c>
      <c r="B55" t="str">
        <v>V77</v>
      </c>
      <c r="C55" t="str">
        <v>V33</v>
      </c>
      <c r="D55" t="str">
        <v>+?</v>
      </c>
      <c r="E55" t="str">
        <v/>
      </c>
      <c r="F55" t="str">
        <v>Moyenne</v>
      </c>
      <c r="G55" t="str">
        <v>Non</v>
      </c>
      <c r="H55" t="str">
        <v/>
      </c>
      <c r="I55" t="str">
        <v>j</v>
      </c>
      <c r="J55" t="str">
        <v/>
      </c>
    </row>
    <row r="56">
      <c r="A56" t="str">
        <v>L105</v>
      </c>
      <c r="B56" t="str">
        <v>V32</v>
      </c>
      <c r="C56" t="str">
        <v>V77</v>
      </c>
      <c r="D56" t="str">
        <v>+?</v>
      </c>
      <c r="E56" t="str">
        <v/>
      </c>
      <c r="F56" t="str">
        <v>Faible</v>
      </c>
      <c r="G56" t="str">
        <v>Non</v>
      </c>
      <c r="H56" t="str">
        <v/>
      </c>
      <c r="I56" t="str">
        <v>j</v>
      </c>
      <c r="J56" t="str">
        <v/>
      </c>
    </row>
    <row r="57">
      <c r="A57" t="str">
        <v>L106</v>
      </c>
      <c r="B57" t="str">
        <v>V39</v>
      </c>
      <c r="C57" t="str">
        <v>V77</v>
      </c>
      <c r="D57" t="str">
        <v>+?</v>
      </c>
      <c r="E57" t="str">
        <v/>
      </c>
      <c r="F57" t="str">
        <v>Moyenne</v>
      </c>
      <c r="G57" t="str">
        <v>Non</v>
      </c>
      <c r="H57" t="str">
        <v/>
      </c>
      <c r="I57" t="str">
        <v>j</v>
      </c>
      <c r="J57" t="str">
        <v/>
      </c>
    </row>
    <row r="58">
      <c r="A58" t="str">
        <v>L107</v>
      </c>
      <c r="B58" t="str">
        <v>V78</v>
      </c>
      <c r="C58" t="str">
        <v>V27</v>
      </c>
      <c r="D58" t="str">
        <v>-</v>
      </c>
      <c r="E58" t="str">
        <v/>
      </c>
      <c r="F58" t="str">
        <v>Faible</v>
      </c>
      <c r="G58" t="str">
        <v>Non</v>
      </c>
      <c r="H58" t="str">
        <v/>
      </c>
      <c r="I58" t="str">
        <v>j</v>
      </c>
      <c r="J58" t="str">
        <v/>
      </c>
    </row>
    <row r="59">
      <c r="A59" t="str">
        <v>L113</v>
      </c>
      <c r="B59" t="str">
        <v>V81</v>
      </c>
      <c r="C59" t="str">
        <v>V1</v>
      </c>
      <c r="D59" t="str">
        <v>+?</v>
      </c>
      <c r="E59" t="str">
        <v/>
      </c>
      <c r="F59" t="str">
        <v>Élevée</v>
      </c>
      <c r="G59" t="str">
        <v>Non</v>
      </c>
      <c r="H59" t="str">
        <v/>
      </c>
      <c r="I59" t="str">
        <v>j</v>
      </c>
      <c r="J59" t="str">
        <v/>
      </c>
    </row>
    <row r="60">
      <c r="A60" t="str">
        <v>L114</v>
      </c>
      <c r="B60" t="str">
        <v>V1</v>
      </c>
      <c r="C60" t="str">
        <v>V81</v>
      </c>
      <c r="D60" t="str">
        <v>+?</v>
      </c>
      <c r="E60" t="str">
        <v/>
      </c>
      <c r="F60" t="str">
        <v>Élevée</v>
      </c>
      <c r="G60" t="str">
        <v>Non</v>
      </c>
      <c r="H60" t="str">
        <v/>
      </c>
      <c r="I60" t="str">
        <v>mois</v>
      </c>
      <c r="J60" t="str">
        <v/>
      </c>
    </row>
    <row r="61">
      <c r="A61" t="str">
        <v>L116</v>
      </c>
      <c r="B61" t="str">
        <v>V40</v>
      </c>
      <c r="C61" t="str">
        <v>V10</v>
      </c>
      <c r="D61" t="str">
        <v>?</v>
      </c>
      <c r="E61" t="str">
        <v/>
      </c>
      <c r="F61" t="str">
        <v>Faible</v>
      </c>
      <c r="G61" t="str">
        <v>Non</v>
      </c>
      <c r="H61" t="str">
        <v/>
      </c>
      <c r="I61" t="str">
        <v>j</v>
      </c>
      <c r="J61" t="str">
        <v/>
      </c>
    </row>
    <row r="62">
      <c r="A62" t="str">
        <v>L123</v>
      </c>
      <c r="B62" t="str">
        <v>V86</v>
      </c>
      <c r="C62" t="str">
        <v>V6</v>
      </c>
      <c r="D62" t="str">
        <v>+?</v>
      </c>
      <c r="E62" t="str">
        <v/>
      </c>
      <c r="F62" t="str">
        <v>Moyenne</v>
      </c>
      <c r="G62" t="str">
        <v>Non</v>
      </c>
      <c r="H62" t="str">
        <v/>
      </c>
      <c r="I62" t="str">
        <v>j</v>
      </c>
      <c r="J62" t="str">
        <v/>
      </c>
    </row>
    <row r="63">
      <c r="A63" t="str">
        <v>L134</v>
      </c>
      <c r="B63" t="str">
        <v>V90</v>
      </c>
      <c r="C63" t="str">
        <v>V89</v>
      </c>
      <c r="D63" t="str">
        <v>+</v>
      </c>
      <c r="E63" t="str">
        <v/>
      </c>
      <c r="F63" t="str">
        <v>Faible</v>
      </c>
      <c r="G63" t="str">
        <v>Non</v>
      </c>
      <c r="H63" t="str">
        <v/>
      </c>
      <c r="I63" t="str">
        <v>j</v>
      </c>
      <c r="J63" t="str">
        <v/>
      </c>
    </row>
    <row r="64">
      <c r="A64" t="str">
        <v>L136</v>
      </c>
      <c r="B64" t="str">
        <v>V85</v>
      </c>
      <c r="C64" t="str">
        <v>V6</v>
      </c>
      <c r="D64" t="str">
        <v>?</v>
      </c>
      <c r="E64" t="str">
        <v/>
      </c>
      <c r="F64" t="str">
        <v>Moyenne</v>
      </c>
      <c r="G64" t="str">
        <v>Non</v>
      </c>
      <c r="H64" t="str">
        <v/>
      </c>
      <c r="I64" t="str">
        <v>j</v>
      </c>
      <c r="J64" t="str">
        <v/>
      </c>
    </row>
    <row r="65">
      <c r="A65" t="str">
        <v>L138</v>
      </c>
      <c r="B65" t="str">
        <v>V81</v>
      </c>
      <c r="C65" t="str">
        <v>V13</v>
      </c>
      <c r="D65" t="str">
        <v>-?</v>
      </c>
      <c r="E65" t="str">
        <v/>
      </c>
      <c r="F65" t="str">
        <v>Élevée</v>
      </c>
      <c r="G65" t="str">
        <v>Non</v>
      </c>
      <c r="H65" t="str">
        <v/>
      </c>
      <c r="I65" t="str">
        <v>j</v>
      </c>
      <c r="J65" t="str">
        <v/>
      </c>
    </row>
    <row r="66">
      <c r="A66" t="str">
        <v>L139</v>
      </c>
      <c r="B66" t="str">
        <v>V50</v>
      </c>
      <c r="C66" t="str">
        <v>V9</v>
      </c>
      <c r="D66" t="str">
        <v>+</v>
      </c>
      <c r="E66" t="str">
        <v/>
      </c>
      <c r="F66" t="str">
        <v>Faible</v>
      </c>
      <c r="G66" t="str">
        <v>Non</v>
      </c>
      <c r="H66" t="str">
        <v/>
      </c>
      <c r="I66" t="str">
        <v>j</v>
      </c>
      <c r="J66" t="str">
        <v/>
      </c>
    </row>
    <row r="67">
      <c r="A67" t="str">
        <v>L141</v>
      </c>
      <c r="B67" t="str">
        <v>V2</v>
      </c>
      <c r="C67" t="str">
        <v>V19</v>
      </c>
      <c r="D67" t="str">
        <v>+</v>
      </c>
      <c r="E67" t="str">
        <v/>
      </c>
      <c r="F67" t="str">
        <v>Moyenne</v>
      </c>
      <c r="G67" t="str">
        <v>Non</v>
      </c>
      <c r="H67" t="str">
        <v/>
      </c>
      <c r="I67" t="str">
        <v>j</v>
      </c>
      <c r="J67" t="str">
        <v/>
      </c>
    </row>
    <row r="68">
      <c r="A68" t="str">
        <v>L142</v>
      </c>
      <c r="B68" t="str">
        <v>V91</v>
      </c>
      <c r="C68" t="str">
        <v>V92</v>
      </c>
      <c r="D68" t="str">
        <v>+</v>
      </c>
      <c r="E68" t="str">
        <v/>
      </c>
      <c r="F68" t="str">
        <v>Moyenne</v>
      </c>
      <c r="G68" t="str">
        <v>Non</v>
      </c>
      <c r="H68" t="str">
        <v/>
      </c>
      <c r="I68" t="str">
        <v>j</v>
      </c>
      <c r="J68" t="str">
        <v/>
      </c>
    </row>
    <row r="69">
      <c r="A69" t="str">
        <v>L145</v>
      </c>
      <c r="B69" t="str">
        <v>V19</v>
      </c>
      <c r="C69" t="str">
        <v>V9</v>
      </c>
      <c r="D69" t="str">
        <v>+</v>
      </c>
      <c r="E69" t="str">
        <v/>
      </c>
      <c r="F69" t="str">
        <v>Élevée</v>
      </c>
      <c r="G69" t="str">
        <v>Non</v>
      </c>
      <c r="H69" t="str">
        <v/>
      </c>
      <c r="I69" t="str">
        <v>j</v>
      </c>
      <c r="J69" t="str">
        <v/>
      </c>
    </row>
    <row r="70">
      <c r="A70" t="str">
        <v>L146</v>
      </c>
      <c r="B70" t="str">
        <v>V27</v>
      </c>
      <c r="C70" t="str">
        <v>V9</v>
      </c>
      <c r="D70" t="str">
        <v>-</v>
      </c>
      <c r="E70" t="str">
        <v/>
      </c>
      <c r="F70" t="str">
        <v>Élevée</v>
      </c>
      <c r="G70" t="str">
        <v>Non</v>
      </c>
      <c r="H70" t="str">
        <v/>
      </c>
      <c r="I70" t="str">
        <v>j</v>
      </c>
      <c r="J70" t="str">
        <v/>
      </c>
    </row>
    <row r="71">
      <c r="A71" t="str">
        <v>L147</v>
      </c>
      <c r="B71" t="str">
        <v>V93</v>
      </c>
      <c r="C71" t="str">
        <v>V3</v>
      </c>
      <c r="D71" t="str">
        <v>+?</v>
      </c>
      <c r="E71" t="str">
        <v/>
      </c>
      <c r="F71" t="str">
        <v>Faible</v>
      </c>
      <c r="G71" t="str">
        <v>Non</v>
      </c>
      <c r="H71" t="str">
        <v/>
      </c>
      <c r="I71" t="str">
        <v>j</v>
      </c>
      <c r="J71" t="str">
        <v/>
      </c>
    </row>
    <row r="72">
      <c r="A72" t="str">
        <v>L148</v>
      </c>
      <c r="B72" t="str">
        <v>V93</v>
      </c>
      <c r="C72" t="str">
        <v>V2</v>
      </c>
      <c r="D72" t="str">
        <v>+</v>
      </c>
      <c r="E72" t="str">
        <v/>
      </c>
      <c r="F72" t="str">
        <v>Faible</v>
      </c>
      <c r="G72" t="str">
        <v>Non</v>
      </c>
      <c r="H72" t="str">
        <v/>
      </c>
      <c r="I72" t="str">
        <v>j</v>
      </c>
      <c r="J72" t="str">
        <v/>
      </c>
    </row>
    <row r="73">
      <c r="A73" t="str">
        <v>L149</v>
      </c>
      <c r="B73" t="str">
        <v>V21</v>
      </c>
      <c r="C73" t="str">
        <v>V8</v>
      </c>
      <c r="D73" t="str">
        <v>+?</v>
      </c>
      <c r="E73" t="str">
        <v/>
      </c>
      <c r="F73" t="str">
        <v>Moyenne</v>
      </c>
      <c r="G73" t="str">
        <v>Non</v>
      </c>
      <c r="H73" t="str">
        <v/>
      </c>
      <c r="I73" t="str">
        <v>j</v>
      </c>
      <c r="J73" t="str">
        <v/>
      </c>
    </row>
    <row r="74">
      <c r="A74" t="str">
        <v>L151</v>
      </c>
      <c r="B74" t="str">
        <v>V94</v>
      </c>
      <c r="C74" t="str">
        <v>V1</v>
      </c>
      <c r="D74" t="str">
        <v>+?</v>
      </c>
      <c r="E74" t="str">
        <v/>
      </c>
      <c r="F74" t="str">
        <v>Moyenne</v>
      </c>
      <c r="G74" t="str">
        <v>Non</v>
      </c>
      <c r="H74" t="str">
        <v/>
      </c>
      <c r="I74" t="str">
        <v>j</v>
      </c>
      <c r="J74" t="str">
        <v/>
      </c>
    </row>
    <row r="75">
      <c r="A75" t="str">
        <v>L153</v>
      </c>
      <c r="B75" t="str">
        <v>V79</v>
      </c>
      <c r="C75" t="str">
        <v>V75</v>
      </c>
      <c r="D75" t="str">
        <v>-?</v>
      </c>
      <c r="E75" t="str">
        <v/>
      </c>
      <c r="F75" t="str">
        <v>Faible</v>
      </c>
      <c r="G75" t="str">
        <v>Non</v>
      </c>
      <c r="H75" t="str">
        <v/>
      </c>
      <c r="I75" t="str">
        <v>j</v>
      </c>
      <c r="J75" t="str">
        <v/>
      </c>
    </row>
    <row r="76">
      <c r="A76" t="str">
        <v>L158</v>
      </c>
      <c r="B76" t="str">
        <v>V95</v>
      </c>
      <c r="C76" t="str">
        <v>V22</v>
      </c>
      <c r="D76" t="str">
        <v>+?</v>
      </c>
      <c r="E76" t="str">
        <v/>
      </c>
      <c r="F76" t="str">
        <v>Élevée</v>
      </c>
      <c r="G76" t="str">
        <v>Non</v>
      </c>
      <c r="H76" t="str">
        <v/>
      </c>
      <c r="I76" t="str">
        <v>j</v>
      </c>
      <c r="J76" t="str">
        <v/>
      </c>
    </row>
    <row r="77">
      <c r="A77" t="str">
        <v>L159</v>
      </c>
      <c r="B77" t="str">
        <v>V40</v>
      </c>
      <c r="C77" t="str">
        <v>V24</v>
      </c>
      <c r="D77" t="str">
        <v>+?</v>
      </c>
      <c r="E77" t="str">
        <v/>
      </c>
      <c r="F77" t="str">
        <v>Moyenne</v>
      </c>
      <c r="G77" t="str">
        <v>Non</v>
      </c>
      <c r="H77" t="str">
        <v/>
      </c>
      <c r="I77" t="str">
        <v>j</v>
      </c>
      <c r="J77" t="str">
        <v/>
      </c>
    </row>
    <row r="78">
      <c r="A78" t="str">
        <v>L160</v>
      </c>
      <c r="B78" t="str">
        <v>V40</v>
      </c>
      <c r="C78" t="str">
        <v>V3</v>
      </c>
      <c r="D78" t="str">
        <v>?</v>
      </c>
      <c r="E78" t="str">
        <v/>
      </c>
      <c r="F78" t="str">
        <v>Moyenne</v>
      </c>
      <c r="G78" t="str">
        <v>Non</v>
      </c>
      <c r="H78" t="str">
        <v/>
      </c>
      <c r="I78" t="str">
        <v>j</v>
      </c>
      <c r="J78" t="str">
        <v/>
      </c>
    </row>
    <row r="79">
      <c r="A79" t="str">
        <v>L163</v>
      </c>
      <c r="B79" t="str">
        <v>V71</v>
      </c>
      <c r="C79" t="str">
        <v>V96</v>
      </c>
      <c r="D79" t="str">
        <v>+?</v>
      </c>
      <c r="E79" t="str">
        <v/>
      </c>
      <c r="F79" t="str">
        <v>Moyenne</v>
      </c>
      <c r="G79" t="str">
        <v>Non</v>
      </c>
      <c r="H79" t="str">
        <v/>
      </c>
      <c r="I79" t="str">
        <v>j</v>
      </c>
      <c r="J79" t="str">
        <v/>
      </c>
    </row>
    <row r="80">
      <c r="A80" t="str">
        <v>L164</v>
      </c>
      <c r="B80" t="str">
        <v>V41</v>
      </c>
      <c r="C80" t="str">
        <v>V7</v>
      </c>
      <c r="D80" t="str">
        <v>+</v>
      </c>
      <c r="E80" t="str">
        <v/>
      </c>
      <c r="F80" t="str">
        <v>Moyenne</v>
      </c>
      <c r="G80" t="str">
        <v>Non</v>
      </c>
      <c r="H80" t="str">
        <v/>
      </c>
      <c r="I80" t="str">
        <v>j</v>
      </c>
      <c r="J80" t="str">
        <v/>
      </c>
    </row>
    <row r="81">
      <c r="A81" t="str">
        <v>L165</v>
      </c>
      <c r="B81" t="str">
        <v>V35</v>
      </c>
      <c r="C81" t="str">
        <v>V2</v>
      </c>
      <c r="D81" t="str">
        <v>+?</v>
      </c>
      <c r="E81" t="str">
        <v/>
      </c>
      <c r="F81" t="str">
        <v>Moyenne</v>
      </c>
      <c r="G81" t="str">
        <v>Non</v>
      </c>
      <c r="H81" t="str">
        <v/>
      </c>
      <c r="I81" t="str">
        <v>j</v>
      </c>
      <c r="J81" t="str">
        <v/>
      </c>
    </row>
    <row r="82">
      <c r="A82" t="str">
        <v>L166</v>
      </c>
      <c r="B82" t="str">
        <v>V93</v>
      </c>
      <c r="C82" t="str">
        <v>V89</v>
      </c>
      <c r="D82" t="str">
        <v>+</v>
      </c>
      <c r="E82" t="str">
        <v/>
      </c>
      <c r="F82" t="str">
        <v>Moyenne</v>
      </c>
      <c r="G82" t="str">
        <v>Non</v>
      </c>
      <c r="H82" t="str">
        <v/>
      </c>
      <c r="I82" t="str">
        <v>j</v>
      </c>
      <c r="J82" t="str">
        <v/>
      </c>
    </row>
    <row r="83">
      <c r="A83" t="str">
        <v>L167</v>
      </c>
      <c r="B83" t="str">
        <v>V70</v>
      </c>
      <c r="C83" t="str">
        <v>V97</v>
      </c>
      <c r="D83" t="str">
        <v>+</v>
      </c>
      <c r="E83" t="str">
        <v/>
      </c>
      <c r="F83" t="str">
        <v>Moyenne</v>
      </c>
      <c r="G83" t="str">
        <v>Non</v>
      </c>
      <c r="H83" t="str">
        <v/>
      </c>
      <c r="I83" t="str">
        <v>j</v>
      </c>
      <c r="J83" t="str">
        <v/>
      </c>
    </row>
    <row r="84">
      <c r="A84" t="str">
        <v>L168</v>
      </c>
      <c r="B84" t="str">
        <v>V40</v>
      </c>
      <c r="C84" t="str">
        <v>V97</v>
      </c>
      <c r="D84" t="str">
        <v>-</v>
      </c>
      <c r="E84" t="str">
        <v/>
      </c>
      <c r="F84" t="str">
        <v>Faible</v>
      </c>
      <c r="G84" t="str">
        <v>Non</v>
      </c>
      <c r="H84" t="str">
        <v/>
      </c>
      <c r="I84" t="str">
        <v>j</v>
      </c>
      <c r="J84" t="str">
        <v/>
      </c>
    </row>
    <row r="85">
      <c r="A85" t="str">
        <v>L169</v>
      </c>
      <c r="B85" t="str">
        <v>V28</v>
      </c>
      <c r="C85" t="str">
        <v>V97</v>
      </c>
      <c r="D85" t="str">
        <v>+</v>
      </c>
      <c r="E85" t="str">
        <v/>
      </c>
      <c r="F85" t="str">
        <v>Faible</v>
      </c>
      <c r="G85" t="str">
        <v>Non</v>
      </c>
      <c r="H85" t="str">
        <v/>
      </c>
      <c r="I85" t="str">
        <v>j</v>
      </c>
      <c r="J85" t="str">
        <v/>
      </c>
    </row>
    <row r="86">
      <c r="A86" t="str">
        <v>L170</v>
      </c>
      <c r="B86" t="str">
        <v>V97</v>
      </c>
      <c r="C86" t="str">
        <v>V7</v>
      </c>
      <c r="D86" t="str">
        <v>+</v>
      </c>
      <c r="E86" t="str">
        <v/>
      </c>
      <c r="F86" t="str">
        <v>Faible</v>
      </c>
      <c r="G86" t="str">
        <v>Non</v>
      </c>
      <c r="H86" t="str">
        <v/>
      </c>
      <c r="I86" t="str">
        <v>j</v>
      </c>
      <c r="J86" t="str">
        <v/>
      </c>
    </row>
    <row r="87">
      <c r="A87" t="str">
        <v>L171</v>
      </c>
      <c r="B87" t="str">
        <v>V98</v>
      </c>
      <c r="C87" t="str">
        <v>V97</v>
      </c>
      <c r="D87" t="str">
        <v>-</v>
      </c>
      <c r="E87" t="str">
        <v/>
      </c>
      <c r="F87" t="str">
        <v>Faible</v>
      </c>
      <c r="G87" t="str">
        <v>Non</v>
      </c>
      <c r="H87" t="str">
        <v/>
      </c>
      <c r="I87" t="str">
        <v>j</v>
      </c>
      <c r="J87" t="str">
        <v/>
      </c>
    </row>
    <row r="88">
      <c r="A88" t="str">
        <v>L172</v>
      </c>
      <c r="B88" t="str">
        <v>V99</v>
      </c>
      <c r="C88" t="str">
        <v>V7</v>
      </c>
      <c r="D88" t="str">
        <v>+</v>
      </c>
      <c r="E88" t="str">
        <v/>
      </c>
      <c r="F88" t="str">
        <v>Moyenne</v>
      </c>
      <c r="G88" t="str">
        <v>Non</v>
      </c>
      <c r="H88" t="str">
        <v/>
      </c>
      <c r="I88" t="str">
        <v>j</v>
      </c>
      <c r="J88" t="str">
        <v/>
      </c>
    </row>
    <row r="89">
      <c r="A89" t="str">
        <v>L173</v>
      </c>
      <c r="B89" t="str">
        <v>V73</v>
      </c>
      <c r="C89" t="str">
        <v>V100</v>
      </c>
      <c r="D89" t="str">
        <v>+</v>
      </c>
      <c r="E89" t="str">
        <v/>
      </c>
      <c r="F89" t="str">
        <v>Faible</v>
      </c>
      <c r="G89" t="str">
        <v>Non</v>
      </c>
      <c r="H89" t="str">
        <v/>
      </c>
      <c r="I89" t="str">
        <v>j</v>
      </c>
      <c r="J89" t="str">
        <v/>
      </c>
    </row>
    <row r="90">
      <c r="A90" t="str">
        <v>L174</v>
      </c>
      <c r="B90" t="str">
        <v>V101</v>
      </c>
      <c r="C90" t="str">
        <v>V100</v>
      </c>
      <c r="D90" t="str">
        <v>+</v>
      </c>
      <c r="E90" t="str">
        <v/>
      </c>
      <c r="F90" t="str">
        <v>Faible</v>
      </c>
      <c r="G90" t="str">
        <v>Non</v>
      </c>
      <c r="H90" t="str">
        <v/>
      </c>
      <c r="I90" t="str">
        <v>j</v>
      </c>
      <c r="J90" t="str">
        <v/>
      </c>
    </row>
    <row r="91">
      <c r="A91" t="str">
        <v>L175</v>
      </c>
      <c r="B91" t="str">
        <v>V100</v>
      </c>
      <c r="C91" t="str">
        <v>V79</v>
      </c>
      <c r="D91" t="str">
        <v>+</v>
      </c>
      <c r="E91" t="str">
        <v/>
      </c>
      <c r="F91" t="str">
        <v>Faible</v>
      </c>
      <c r="G91" t="str">
        <v>Non</v>
      </c>
      <c r="H91" t="str">
        <v/>
      </c>
      <c r="I91" t="str">
        <v>j</v>
      </c>
      <c r="J91" t="str">
        <v/>
      </c>
    </row>
    <row r="92">
      <c r="A92" t="str">
        <v>L176</v>
      </c>
      <c r="B92" t="str">
        <v>V36</v>
      </c>
      <c r="C92" t="str">
        <v>V79</v>
      </c>
      <c r="D92" t="str">
        <v>-</v>
      </c>
      <c r="E92" t="str">
        <v/>
      </c>
      <c r="F92" t="str">
        <v>Faible</v>
      </c>
      <c r="G92" t="str">
        <v>Non</v>
      </c>
      <c r="H92" t="str">
        <v/>
      </c>
      <c r="I92" t="str">
        <v>j</v>
      </c>
      <c r="J92" t="str">
        <v/>
      </c>
    </row>
    <row r="93">
      <c r="A93" t="str">
        <v>L177</v>
      </c>
      <c r="B93" t="str">
        <v>V61</v>
      </c>
      <c r="C93" t="str">
        <v>V57</v>
      </c>
      <c r="D93" t="str">
        <v>+</v>
      </c>
      <c r="E93" t="str">
        <v/>
      </c>
      <c r="F93" t="str">
        <v>Faible</v>
      </c>
      <c r="G93" t="str">
        <v>Non</v>
      </c>
      <c r="H93" t="str">
        <v/>
      </c>
      <c r="I93" t="str">
        <v>j</v>
      </c>
      <c r="J93" t="str">
        <v/>
      </c>
    </row>
    <row r="94">
      <c r="A94" t="str">
        <v>L179</v>
      </c>
      <c r="B94" t="str">
        <v>V12</v>
      </c>
      <c r="C94" t="str">
        <v>V22</v>
      </c>
      <c r="D94" t="str">
        <v>+</v>
      </c>
      <c r="E94" t="str">
        <v/>
      </c>
      <c r="F94" t="str">
        <v>Faible</v>
      </c>
      <c r="G94" t="str">
        <v>Non</v>
      </c>
      <c r="H94" t="str">
        <v/>
      </c>
      <c r="I94" t="str">
        <v>j</v>
      </c>
      <c r="J94" t="str">
        <v/>
      </c>
    </row>
    <row r="95">
      <c r="A95" t="str">
        <v>L180</v>
      </c>
      <c r="B95" t="str">
        <v>V102</v>
      </c>
      <c r="C95" t="str">
        <v>V22</v>
      </c>
      <c r="D95" t="str">
        <v>+</v>
      </c>
      <c r="E95" t="str">
        <v/>
      </c>
      <c r="F95" t="str">
        <v>Faible</v>
      </c>
      <c r="G95" t="str">
        <v>Non</v>
      </c>
      <c r="H95" t="str">
        <v/>
      </c>
      <c r="I95" t="str">
        <v>j</v>
      </c>
      <c r="J95" t="str">
        <v/>
      </c>
    </row>
    <row r="96">
      <c r="A96" t="str">
        <v>L181</v>
      </c>
      <c r="B96" t="str">
        <v>V103</v>
      </c>
      <c r="C96" t="str">
        <v>V3</v>
      </c>
      <c r="D96" t="str">
        <v>-?</v>
      </c>
      <c r="E96" t="str">
        <v/>
      </c>
      <c r="F96" t="str">
        <v>Faible</v>
      </c>
      <c r="G96" t="str">
        <v>Non</v>
      </c>
      <c r="H96" t="str">
        <v/>
      </c>
      <c r="I96" t="str">
        <v>j</v>
      </c>
      <c r="J96" t="str">
        <v/>
      </c>
    </row>
    <row r="97">
      <c r="A97" t="str">
        <v>L182</v>
      </c>
      <c r="B97" t="str">
        <v>V42</v>
      </c>
      <c r="C97" t="str">
        <v>V41</v>
      </c>
      <c r="D97" t="str">
        <v>-</v>
      </c>
      <c r="E97" t="str">
        <v/>
      </c>
      <c r="F97" t="str">
        <v>Moyenne</v>
      </c>
      <c r="G97" t="str">
        <v>Non</v>
      </c>
      <c r="H97" t="str">
        <v/>
      </c>
      <c r="I97" t="str">
        <v>j</v>
      </c>
      <c r="J97" t="str">
        <v/>
      </c>
    </row>
    <row r="98">
      <c r="A98" t="str">
        <v>L183</v>
      </c>
      <c r="B98" t="str">
        <v>V104</v>
      </c>
      <c r="C98" t="str">
        <v>V22</v>
      </c>
      <c r="D98" t="str">
        <v>+</v>
      </c>
      <c r="E98" t="str">
        <v/>
      </c>
      <c r="F98" t="str">
        <v>Faible</v>
      </c>
      <c r="G98" t="str">
        <v>Non</v>
      </c>
      <c r="H98" t="str">
        <v/>
      </c>
      <c r="I98" t="str">
        <v>j</v>
      </c>
      <c r="J98" t="str">
        <v/>
      </c>
    </row>
    <row r="99">
      <c r="A99" t="str">
        <v>L184</v>
      </c>
      <c r="B99" t="str">
        <v>V27</v>
      </c>
      <c r="C99" t="str">
        <v>V22</v>
      </c>
      <c r="D99" t="str">
        <v>-</v>
      </c>
      <c r="E99" t="str">
        <v/>
      </c>
      <c r="F99" t="str">
        <v>Moyenne</v>
      </c>
      <c r="G99" t="str">
        <v>Non</v>
      </c>
      <c r="H99" t="str">
        <v/>
      </c>
      <c r="I99" t="str">
        <v>j</v>
      </c>
      <c r="J99" t="str">
        <v/>
      </c>
    </row>
    <row r="100">
      <c r="A100" t="str">
        <v>L186</v>
      </c>
      <c r="B100" t="str">
        <v>V3</v>
      </c>
      <c r="C100" t="str">
        <v>V28</v>
      </c>
      <c r="D100" t="str">
        <v>+?</v>
      </c>
      <c r="E100" t="str">
        <v/>
      </c>
      <c r="F100" t="str">
        <v>Moyenne</v>
      </c>
      <c r="G100" t="str">
        <v>Non</v>
      </c>
      <c r="H100" t="str">
        <v/>
      </c>
      <c r="I100" t="str">
        <v>j</v>
      </c>
      <c r="J100" t="str">
        <v/>
      </c>
    </row>
    <row r="101">
      <c r="A101" t="str">
        <v>L189</v>
      </c>
      <c r="B101" t="str">
        <v>V93</v>
      </c>
      <c r="C101" t="str">
        <v>V7</v>
      </c>
      <c r="D101" t="str">
        <v>+</v>
      </c>
      <c r="E101" t="str">
        <v/>
      </c>
      <c r="F101" t="str">
        <v>Moyenne</v>
      </c>
      <c r="G101" t="str">
        <v>Non</v>
      </c>
      <c r="H101" t="str">
        <v/>
      </c>
      <c r="I101" t="str">
        <v>j</v>
      </c>
      <c r="J101" t="str">
        <v/>
      </c>
    </row>
    <row r="102">
      <c r="A102" t="str">
        <v>L190</v>
      </c>
      <c r="B102" t="str">
        <v>V93</v>
      </c>
      <c r="C102" t="str">
        <v>V40</v>
      </c>
      <c r="D102" t="str">
        <v>+</v>
      </c>
      <c r="E102" t="str">
        <v/>
      </c>
      <c r="F102" t="str">
        <v>Moyenne</v>
      </c>
      <c r="G102" t="str">
        <v>Non</v>
      </c>
      <c r="H102" t="str">
        <v/>
      </c>
      <c r="I102" t="str">
        <v>j</v>
      </c>
      <c r="J102" t="str">
        <v/>
      </c>
    </row>
    <row r="103">
      <c r="A103" t="str">
        <v>L191</v>
      </c>
      <c r="B103" t="str">
        <v>V105</v>
      </c>
      <c r="C103" t="str">
        <v>V17</v>
      </c>
      <c r="D103" t="str">
        <v>+?</v>
      </c>
      <c r="E103" t="str">
        <v/>
      </c>
      <c r="F103" t="str">
        <v>Faible</v>
      </c>
      <c r="G103" t="str">
        <v>Non</v>
      </c>
      <c r="H103" t="str">
        <v/>
      </c>
      <c r="I103" t="str">
        <v>j</v>
      </c>
      <c r="J103" t="str">
        <v/>
      </c>
    </row>
    <row r="104">
      <c r="A104" t="str">
        <v>L192</v>
      </c>
      <c r="B104" t="str">
        <v>V96</v>
      </c>
      <c r="C104" t="str">
        <v>V106</v>
      </c>
      <c r="D104" t="str">
        <v>-</v>
      </c>
      <c r="E104" t="str">
        <v/>
      </c>
      <c r="F104" t="str">
        <v>Faible</v>
      </c>
      <c r="G104" t="str">
        <v>Non</v>
      </c>
      <c r="H104" t="str">
        <v/>
      </c>
      <c r="I104" t="str">
        <v>j</v>
      </c>
      <c r="J104" t="str">
        <v/>
      </c>
    </row>
    <row r="105">
      <c r="A105" t="str">
        <v>L193</v>
      </c>
      <c r="B105" t="str">
        <v>V106</v>
      </c>
      <c r="C105" t="str">
        <v>V76</v>
      </c>
      <c r="D105" t="str">
        <v>-</v>
      </c>
      <c r="E105" t="str">
        <v/>
      </c>
      <c r="F105" t="str">
        <v>Faible</v>
      </c>
      <c r="G105" t="str">
        <v>Non</v>
      </c>
      <c r="H105" t="str">
        <v/>
      </c>
      <c r="I105" t="str">
        <v>j</v>
      </c>
      <c r="J105" t="str">
        <v/>
      </c>
    </row>
    <row r="106">
      <c r="A106" t="str">
        <v>L195</v>
      </c>
      <c r="B106" t="str">
        <v>V59</v>
      </c>
      <c r="C106" t="str">
        <v>V107</v>
      </c>
      <c r="D106" t="str">
        <v>+</v>
      </c>
      <c r="E106" t="str">
        <v/>
      </c>
      <c r="F106" t="str">
        <v>Moyenne</v>
      </c>
      <c r="G106" t="str">
        <v>Non</v>
      </c>
      <c r="H106" t="str">
        <v/>
      </c>
      <c r="I106" t="str">
        <v>j</v>
      </c>
      <c r="J106" t="str">
        <v/>
      </c>
    </row>
    <row r="107">
      <c r="A107" t="str">
        <v>L196</v>
      </c>
      <c r="B107" t="str">
        <v>V76</v>
      </c>
      <c r="C107" t="str">
        <v>V107</v>
      </c>
      <c r="D107" t="str">
        <v>+</v>
      </c>
      <c r="E107" t="str">
        <v/>
      </c>
      <c r="F107" t="str">
        <v>Moyenne</v>
      </c>
      <c r="G107" t="str">
        <v>Non</v>
      </c>
      <c r="H107" t="str">
        <v/>
      </c>
      <c r="I107" t="str">
        <v>j</v>
      </c>
      <c r="J107" t="str">
        <v/>
      </c>
    </row>
    <row r="108">
      <c r="A108" t="str">
        <v>L197</v>
      </c>
      <c r="B108" t="str">
        <v>V107</v>
      </c>
      <c r="C108" t="str">
        <v>V17</v>
      </c>
      <c r="D108" t="str">
        <v>+?</v>
      </c>
      <c r="E108" t="str">
        <v/>
      </c>
      <c r="F108" t="str">
        <v>Moyenne</v>
      </c>
      <c r="G108" t="str">
        <v>Non</v>
      </c>
      <c r="H108" t="str">
        <v/>
      </c>
      <c r="I108" t="str">
        <v>j</v>
      </c>
      <c r="J108" t="str">
        <v/>
      </c>
    </row>
    <row r="109">
      <c r="A109" t="str">
        <v>L198</v>
      </c>
      <c r="B109" t="str">
        <v>V58</v>
      </c>
      <c r="C109" t="str">
        <v>V76</v>
      </c>
      <c r="D109" t="str">
        <v>+</v>
      </c>
      <c r="E109" t="str">
        <v/>
      </c>
      <c r="F109" t="str">
        <v>Faible</v>
      </c>
      <c r="G109" t="str">
        <v>Non</v>
      </c>
      <c r="H109" t="str">
        <v/>
      </c>
      <c r="I109" t="str">
        <v>j</v>
      </c>
      <c r="J109" t="str">
        <v/>
      </c>
    </row>
    <row r="110">
      <c r="A110" t="str">
        <v>L199</v>
      </c>
      <c r="B110" t="str">
        <v>V57</v>
      </c>
      <c r="C110" t="str">
        <v>V76</v>
      </c>
      <c r="D110" t="str">
        <v>+</v>
      </c>
      <c r="E110" t="str">
        <v/>
      </c>
      <c r="F110" t="str">
        <v>Faible</v>
      </c>
      <c r="G110" t="str">
        <v>Non</v>
      </c>
      <c r="H110" t="str">
        <v/>
      </c>
      <c r="I110" t="str">
        <v>j</v>
      </c>
      <c r="J110" t="str">
        <v/>
      </c>
    </row>
    <row r="111">
      <c r="A111" t="str">
        <v>L200</v>
      </c>
      <c r="B111" t="str">
        <v>V107</v>
      </c>
      <c r="C111" t="str">
        <v>V42</v>
      </c>
      <c r="D111" t="str">
        <v>+</v>
      </c>
      <c r="E111" t="str">
        <v/>
      </c>
      <c r="F111" t="str">
        <v>Moyenne</v>
      </c>
      <c r="G111" t="str">
        <v>Non</v>
      </c>
      <c r="H111" t="str">
        <v/>
      </c>
      <c r="I111" t="str">
        <v>j</v>
      </c>
      <c r="J111" t="str">
        <v/>
      </c>
    </row>
    <row r="112">
      <c r="A112" t="str">
        <v>L202</v>
      </c>
      <c r="B112" t="str">
        <v>V75</v>
      </c>
      <c r="C112" t="str">
        <v>V109</v>
      </c>
      <c r="D112" t="str">
        <v>+</v>
      </c>
      <c r="E112" t="str">
        <v/>
      </c>
      <c r="F112" t="str">
        <v>Faible</v>
      </c>
      <c r="G112" t="str">
        <v>Non</v>
      </c>
      <c r="H112" t="str">
        <v/>
      </c>
      <c r="I112" t="str">
        <v>j</v>
      </c>
      <c r="J112" t="str">
        <v/>
      </c>
    </row>
    <row r="113">
      <c r="A113" t="str">
        <v>L204</v>
      </c>
      <c r="B113" t="str">
        <v>V110</v>
      </c>
      <c r="C113" t="str">
        <v>V108</v>
      </c>
      <c r="D113" t="str">
        <v>+?</v>
      </c>
      <c r="E113" t="str">
        <v/>
      </c>
      <c r="F113" t="str">
        <v>Faible</v>
      </c>
      <c r="G113" t="str">
        <v>Non</v>
      </c>
      <c r="H113" t="str">
        <v/>
      </c>
      <c r="I113" t="str">
        <v>j</v>
      </c>
      <c r="J113" t="str">
        <v/>
      </c>
    </row>
    <row r="114">
      <c r="A114" t="str">
        <v>L206</v>
      </c>
      <c r="B114" t="str">
        <v>V108</v>
      </c>
      <c r="C114" t="str">
        <v>V56</v>
      </c>
      <c r="D114" t="str">
        <v>+?</v>
      </c>
      <c r="E114" t="str">
        <v/>
      </c>
      <c r="F114" t="str">
        <v>Faible</v>
      </c>
      <c r="G114" t="str">
        <v>Non</v>
      </c>
      <c r="H114" t="str">
        <v/>
      </c>
      <c r="I114" t="str">
        <v>j</v>
      </c>
      <c r="J114" t="str">
        <v/>
      </c>
    </row>
    <row r="115">
      <c r="A115" t="str">
        <v>L207</v>
      </c>
      <c r="B115" t="str">
        <v>V56</v>
      </c>
      <c r="C115" t="str">
        <v>V108</v>
      </c>
      <c r="D115" t="str">
        <v>?</v>
      </c>
      <c r="E115" t="str">
        <v/>
      </c>
      <c r="F115" t="str">
        <v>Faible</v>
      </c>
      <c r="G115" t="str">
        <v>Non</v>
      </c>
      <c r="H115" t="str">
        <v/>
      </c>
      <c r="I115" t="str">
        <v>j</v>
      </c>
      <c r="J115" t="str">
        <v/>
      </c>
    </row>
    <row r="116">
      <c r="A116" t="str">
        <v>L208</v>
      </c>
      <c r="B116" t="str">
        <v>V79</v>
      </c>
      <c r="C116" t="str">
        <v>V111</v>
      </c>
      <c r="D116" t="str">
        <v>+?</v>
      </c>
      <c r="E116" t="str">
        <v/>
      </c>
      <c r="F116" t="str">
        <v>Faible</v>
      </c>
      <c r="G116" t="str">
        <v>Non</v>
      </c>
      <c r="H116" t="str">
        <v/>
      </c>
      <c r="I116" t="str">
        <v>j</v>
      </c>
      <c r="J116" t="str">
        <v/>
      </c>
    </row>
    <row r="117">
      <c r="A117" t="str">
        <v>L209</v>
      </c>
      <c r="B117" t="str">
        <v>V109</v>
      </c>
      <c r="C117" t="str">
        <v>V111</v>
      </c>
      <c r="D117" t="str">
        <v>+?</v>
      </c>
      <c r="E117" t="str">
        <v/>
      </c>
      <c r="F117" t="str">
        <v>Moyenne</v>
      </c>
      <c r="G117" t="str">
        <v>Non</v>
      </c>
      <c r="H117" t="str">
        <v/>
      </c>
      <c r="I117" t="str">
        <v>j</v>
      </c>
      <c r="J117" t="str">
        <v/>
      </c>
    </row>
    <row r="118">
      <c r="A118" t="str">
        <v>L210</v>
      </c>
      <c r="B118" t="str">
        <v>V112</v>
      </c>
      <c r="C118" t="str">
        <v>V111</v>
      </c>
      <c r="D118" t="str">
        <v>+?</v>
      </c>
      <c r="E118" t="str">
        <v/>
      </c>
      <c r="F118" t="str">
        <v>Moyenne</v>
      </c>
      <c r="G118" t="str">
        <v>Non</v>
      </c>
      <c r="H118" t="str">
        <v/>
      </c>
      <c r="I118" t="str">
        <v>j</v>
      </c>
      <c r="J118" t="str">
        <v/>
      </c>
    </row>
    <row r="119">
      <c r="A119" t="str">
        <v>L211</v>
      </c>
      <c r="B119" t="str">
        <v>V111</v>
      </c>
      <c r="C119" t="str">
        <v>V110</v>
      </c>
      <c r="D119" t="str">
        <v>+?</v>
      </c>
      <c r="E119" t="str">
        <v/>
      </c>
      <c r="F119" t="str">
        <v>Moyenne</v>
      </c>
      <c r="G119" t="str">
        <v>Non</v>
      </c>
      <c r="H119" t="str">
        <v/>
      </c>
      <c r="I119" t="str">
        <v>j</v>
      </c>
      <c r="J119" t="str">
        <v/>
      </c>
    </row>
    <row r="120">
      <c r="A120" t="str">
        <v>L212</v>
      </c>
      <c r="B120" t="str">
        <v>V74</v>
      </c>
      <c r="C120" t="str">
        <v>V110</v>
      </c>
      <c r="D120" t="str">
        <v>-?</v>
      </c>
      <c r="E120" t="str">
        <v/>
      </c>
      <c r="F120" t="str">
        <v>Moyenne</v>
      </c>
      <c r="G120" t="str">
        <v>Non</v>
      </c>
      <c r="H120" t="str">
        <v/>
      </c>
      <c r="I120" t="str">
        <v>j</v>
      </c>
      <c r="J120" t="str">
        <v/>
      </c>
    </row>
    <row r="121">
      <c r="A121" t="str">
        <v>L213</v>
      </c>
      <c r="B121" t="str">
        <v>V113</v>
      </c>
      <c r="C121" t="str">
        <v>V108</v>
      </c>
      <c r="D121" t="str">
        <v>+?</v>
      </c>
      <c r="E121" t="str">
        <v/>
      </c>
      <c r="F121" t="str">
        <v>Moyenne</v>
      </c>
      <c r="G121" t="str">
        <v>Non</v>
      </c>
      <c r="H121" t="str">
        <v/>
      </c>
      <c r="I121" t="str">
        <v>j</v>
      </c>
      <c r="J121" t="str">
        <v/>
      </c>
    </row>
    <row r="122">
      <c r="A122" t="str">
        <v>L214</v>
      </c>
      <c r="B122" t="str">
        <v>V74</v>
      </c>
      <c r="C122" t="str">
        <v>V113</v>
      </c>
      <c r="D122" t="str">
        <v>-?</v>
      </c>
      <c r="E122" t="str">
        <v/>
      </c>
      <c r="F122" t="str">
        <v>Moyenne</v>
      </c>
      <c r="G122" t="str">
        <v>Non</v>
      </c>
      <c r="H122" t="str">
        <v/>
      </c>
      <c r="I122" t="str">
        <v>j</v>
      </c>
      <c r="J122" t="str">
        <v/>
      </c>
    </row>
    <row r="123">
      <c r="A123" t="str">
        <v>L215</v>
      </c>
      <c r="B123" t="str">
        <v>V104</v>
      </c>
      <c r="C123" t="str">
        <v>V27</v>
      </c>
      <c r="D123" t="str">
        <v>+</v>
      </c>
      <c r="E123" t="str">
        <v/>
      </c>
      <c r="F123" t="str">
        <v>Faible</v>
      </c>
      <c r="G123" t="str">
        <v>Non</v>
      </c>
      <c r="H123" t="str">
        <v/>
      </c>
      <c r="I123" t="str">
        <v>j</v>
      </c>
      <c r="J123" t="str">
        <v/>
      </c>
    </row>
    <row r="124">
      <c r="A124" t="str">
        <v>L216</v>
      </c>
      <c r="B124" t="str">
        <v>V107</v>
      </c>
      <c r="C124" t="str">
        <v>V15</v>
      </c>
      <c r="D124" t="str">
        <v>+</v>
      </c>
      <c r="E124" t="str">
        <v/>
      </c>
      <c r="F124" t="str">
        <v>Moyenne</v>
      </c>
      <c r="G124" t="str">
        <v>Non</v>
      </c>
      <c r="H124" t="str">
        <v/>
      </c>
      <c r="I124" t="str">
        <v>j</v>
      </c>
      <c r="J124" t="str">
        <v/>
      </c>
    </row>
    <row r="125">
      <c r="A125" t="str">
        <v>L217</v>
      </c>
      <c r="B125" t="str">
        <v>V52</v>
      </c>
      <c r="C125" t="str">
        <v>V15</v>
      </c>
      <c r="D125" t="str">
        <v>+</v>
      </c>
      <c r="E125" t="str">
        <v/>
      </c>
      <c r="F125" t="str">
        <v>Moyenne</v>
      </c>
      <c r="G125" t="str">
        <v>Non</v>
      </c>
      <c r="H125" t="str">
        <v/>
      </c>
      <c r="I125" t="str">
        <v>j</v>
      </c>
      <c r="J125" t="str">
        <v/>
      </c>
    </row>
    <row r="126">
      <c r="A126" t="str">
        <v>L220</v>
      </c>
      <c r="B126" t="str">
        <v>V17</v>
      </c>
      <c r="C126" t="str">
        <v>V15</v>
      </c>
      <c r="D126" t="str">
        <v>+</v>
      </c>
      <c r="E126" t="str">
        <v/>
      </c>
      <c r="F126" t="str">
        <v>Moyenne</v>
      </c>
      <c r="G126" t="str">
        <v>Non</v>
      </c>
      <c r="H126" t="str">
        <v/>
      </c>
      <c r="I126" t="str">
        <v>j</v>
      </c>
      <c r="J126" t="str">
        <v/>
      </c>
    </row>
    <row r="127">
      <c r="A127" t="str">
        <v>L221</v>
      </c>
      <c r="B127" t="str">
        <v>V114</v>
      </c>
      <c r="C127" t="str">
        <v>V17</v>
      </c>
      <c r="D127" t="str">
        <v>+</v>
      </c>
      <c r="E127" t="str">
        <v/>
      </c>
      <c r="F127" t="str">
        <v>Élevée</v>
      </c>
      <c r="G127" t="str">
        <v>Non</v>
      </c>
      <c r="H127" t="str">
        <v/>
      </c>
      <c r="I127" t="str">
        <v>j</v>
      </c>
      <c r="J127" t="str">
        <v/>
      </c>
    </row>
    <row r="128">
      <c r="A128" t="str">
        <v>L223</v>
      </c>
      <c r="B128" t="str">
        <v>V17</v>
      </c>
      <c r="C128" t="str">
        <v>V114</v>
      </c>
      <c r="D128" t="str">
        <v>+</v>
      </c>
      <c r="E128" t="str">
        <v/>
      </c>
      <c r="F128" t="str">
        <v>Élevée</v>
      </c>
      <c r="G128" t="str">
        <v>Non</v>
      </c>
      <c r="H128" t="str">
        <v/>
      </c>
      <c r="I128" t="str">
        <v>j</v>
      </c>
      <c r="J128" t="str">
        <v/>
      </c>
    </row>
    <row r="129">
      <c r="A129" t="str">
        <v>L227</v>
      </c>
      <c r="B129" t="str">
        <v>V114</v>
      </c>
      <c r="C129" t="str">
        <v>V115</v>
      </c>
      <c r="D129" t="str">
        <v>-</v>
      </c>
      <c r="E129" t="str">
        <v/>
      </c>
      <c r="F129" t="str">
        <v>Élevée</v>
      </c>
      <c r="G129" t="str">
        <v>Non</v>
      </c>
      <c r="H129" t="str">
        <v/>
      </c>
      <c r="I129" t="str">
        <v>j</v>
      </c>
      <c r="J129" t="str">
        <v/>
      </c>
    </row>
    <row r="130">
      <c r="A130" t="str">
        <v>L228</v>
      </c>
      <c r="B130" t="str">
        <v>V115</v>
      </c>
      <c r="C130" t="str">
        <v>V114</v>
      </c>
      <c r="D130" t="str">
        <v>-</v>
      </c>
      <c r="E130" t="str">
        <v/>
      </c>
      <c r="F130" t="str">
        <v>Élevée</v>
      </c>
      <c r="G130" t="str">
        <v>Non</v>
      </c>
      <c r="H130" t="str">
        <v/>
      </c>
      <c r="I130" t="str">
        <v>j</v>
      </c>
      <c r="J130" t="str">
        <v/>
      </c>
    </row>
    <row r="131">
      <c r="A131" t="str">
        <v>L229</v>
      </c>
      <c r="B131" t="str">
        <v>V115</v>
      </c>
      <c r="C131" t="str">
        <v>V17</v>
      </c>
      <c r="D131" t="str">
        <v>+</v>
      </c>
      <c r="E131" t="str">
        <v/>
      </c>
      <c r="F131" t="str">
        <v>Élevée</v>
      </c>
      <c r="G131" t="str">
        <v>Non</v>
      </c>
      <c r="H131" t="str">
        <v/>
      </c>
      <c r="I131" t="str">
        <v>j</v>
      </c>
      <c r="J131" t="str">
        <v/>
      </c>
    </row>
    <row r="132">
      <c r="A132" t="str">
        <v>L230</v>
      </c>
      <c r="B132" t="str">
        <v>V17</v>
      </c>
      <c r="C132" t="str">
        <v>V115</v>
      </c>
      <c r="D132" t="str">
        <v>+</v>
      </c>
      <c r="E132" t="str">
        <v/>
      </c>
      <c r="F132" t="str">
        <v>Élevée</v>
      </c>
      <c r="G132" t="str">
        <v>Non</v>
      </c>
      <c r="H132" t="str">
        <v/>
      </c>
      <c r="I132" t="str">
        <v>j</v>
      </c>
      <c r="J132" t="str">
        <v/>
      </c>
    </row>
    <row r="133">
      <c r="A133" t="str">
        <v>L231</v>
      </c>
      <c r="B133" t="str">
        <v>V52</v>
      </c>
      <c r="C133" t="str">
        <v>V56</v>
      </c>
      <c r="D133" t="str">
        <v>-</v>
      </c>
      <c r="E133" t="str">
        <v/>
      </c>
      <c r="F133" t="str">
        <v>Élevée</v>
      </c>
      <c r="G133" t="str">
        <v>Non</v>
      </c>
      <c r="H133" t="str">
        <v/>
      </c>
      <c r="I133" t="str">
        <v>j</v>
      </c>
      <c r="J133" t="str">
        <v/>
      </c>
    </row>
    <row r="134">
      <c r="A134" t="str">
        <v>L232</v>
      </c>
      <c r="B134" t="str">
        <v>V115</v>
      </c>
      <c r="C134" t="str">
        <v>V56</v>
      </c>
      <c r="D134" t="str">
        <v>+</v>
      </c>
      <c r="E134" t="str">
        <v/>
      </c>
      <c r="F134" t="str">
        <v>Élevée</v>
      </c>
      <c r="G134" t="str">
        <v>Non</v>
      </c>
      <c r="H134" t="str">
        <v/>
      </c>
      <c r="I134" t="str">
        <v>j</v>
      </c>
      <c r="J134" t="str">
        <v/>
      </c>
    </row>
    <row r="135">
      <c r="A135" t="str">
        <v>L233</v>
      </c>
      <c r="B135" t="str">
        <v>V105</v>
      </c>
      <c r="C135" t="str">
        <v>V56</v>
      </c>
      <c r="D135" t="str">
        <v>+</v>
      </c>
      <c r="E135" t="str">
        <v/>
      </c>
      <c r="F135" t="str">
        <v>Moyenne</v>
      </c>
      <c r="G135" t="str">
        <v>Non</v>
      </c>
      <c r="H135" t="str">
        <v/>
      </c>
      <c r="I135" t="str">
        <v>j</v>
      </c>
      <c r="J135" t="str">
        <v/>
      </c>
    </row>
    <row r="136">
      <c r="A136" t="str">
        <v>L234</v>
      </c>
      <c r="B136" t="str">
        <v>V107</v>
      </c>
      <c r="C136" t="str">
        <v>V56</v>
      </c>
      <c r="D136" t="str">
        <v>-</v>
      </c>
      <c r="E136" t="str">
        <v/>
      </c>
      <c r="F136" t="str">
        <v>Moyenne</v>
      </c>
      <c r="G136" t="str">
        <v>Non</v>
      </c>
      <c r="H136" t="str">
        <v/>
      </c>
      <c r="I136" t="str">
        <v>j</v>
      </c>
      <c r="J136" t="str">
        <v/>
      </c>
    </row>
    <row r="137">
      <c r="A137" t="str">
        <v>L235</v>
      </c>
      <c r="B137" t="str">
        <v>V17</v>
      </c>
      <c r="C137" t="str">
        <v>V56</v>
      </c>
      <c r="D137" t="str">
        <v>+</v>
      </c>
      <c r="E137" t="str">
        <v/>
      </c>
      <c r="F137" t="str">
        <v>Élevée</v>
      </c>
      <c r="G137" t="str">
        <v>Non</v>
      </c>
      <c r="H137" t="str">
        <v/>
      </c>
      <c r="I137" t="str">
        <v>j</v>
      </c>
      <c r="J137" t="str">
        <v/>
      </c>
    </row>
    <row r="138">
      <c r="A138" t="str">
        <v>L238</v>
      </c>
      <c r="B138" t="str">
        <v>V116</v>
      </c>
      <c r="C138" t="str">
        <v>V15</v>
      </c>
      <c r="D138" t="str">
        <v>+</v>
      </c>
      <c r="E138" t="str">
        <v/>
      </c>
      <c r="F138" t="str">
        <v>Faible</v>
      </c>
      <c r="G138" t="str">
        <v>Non</v>
      </c>
      <c r="H138" t="str">
        <v/>
      </c>
      <c r="I138" t="str">
        <v>j</v>
      </c>
      <c r="J138" t="str">
        <v/>
      </c>
    </row>
    <row r="139">
      <c r="A139" t="str">
        <v>L239</v>
      </c>
      <c r="B139" t="str">
        <v>V24</v>
      </c>
      <c r="C139" t="str">
        <v>V116</v>
      </c>
      <c r="D139" t="str">
        <v>-?</v>
      </c>
      <c r="E139" t="str">
        <v/>
      </c>
      <c r="F139" t="str">
        <v>Faible</v>
      </c>
      <c r="G139" t="str">
        <v>Non</v>
      </c>
      <c r="H139" t="str">
        <v/>
      </c>
      <c r="I139" t="str">
        <v>j</v>
      </c>
      <c r="J139" t="str">
        <v/>
      </c>
    </row>
    <row r="140">
      <c r="A140" t="str">
        <v>L240</v>
      </c>
      <c r="B140" t="str">
        <v>V116</v>
      </c>
      <c r="C140" t="str">
        <v>V7</v>
      </c>
      <c r="D140" t="str">
        <v>+</v>
      </c>
      <c r="E140" t="str">
        <v/>
      </c>
      <c r="F140" t="str">
        <v>Faible</v>
      </c>
      <c r="G140" t="str">
        <v>Non</v>
      </c>
      <c r="H140" t="str">
        <v/>
      </c>
      <c r="I140" t="str">
        <v>j</v>
      </c>
      <c r="J140" t="str">
        <v/>
      </c>
    </row>
    <row r="141">
      <c r="A141" t="str">
        <v>L241</v>
      </c>
      <c r="B141" t="str">
        <v>V17</v>
      </c>
      <c r="C141" t="str">
        <v>V7</v>
      </c>
      <c r="D141" t="str">
        <v>+</v>
      </c>
      <c r="E141" t="str">
        <v/>
      </c>
      <c r="F141" t="str">
        <v>Faible</v>
      </c>
      <c r="G141" t="str">
        <v>Non</v>
      </c>
      <c r="H141" t="str">
        <v/>
      </c>
      <c r="I141" t="str">
        <v>j</v>
      </c>
      <c r="J141" t="str">
        <v/>
      </c>
    </row>
    <row r="142">
      <c r="A142" t="str">
        <v>L242</v>
      </c>
      <c r="B142" t="str">
        <v>V117</v>
      </c>
      <c r="C142" t="str">
        <v>V86</v>
      </c>
      <c r="D142" t="str">
        <v>+?</v>
      </c>
      <c r="E142" t="str">
        <v/>
      </c>
      <c r="F142" t="str">
        <v>Moyenne</v>
      </c>
      <c r="G142" t="str">
        <v>Non</v>
      </c>
      <c r="H142" t="str">
        <v/>
      </c>
      <c r="I142" t="str">
        <v>j</v>
      </c>
      <c r="J142" t="str">
        <v/>
      </c>
    </row>
    <row r="143">
      <c r="A143" t="str">
        <v>L243</v>
      </c>
      <c r="B143" t="str">
        <v>V118</v>
      </c>
      <c r="C143" t="str">
        <v>V86</v>
      </c>
      <c r="D143" t="str">
        <v>+?</v>
      </c>
      <c r="E143" t="str">
        <v/>
      </c>
      <c r="F143" t="str">
        <v>Faible</v>
      </c>
      <c r="G143" t="str">
        <v>Non</v>
      </c>
      <c r="H143" t="str">
        <v/>
      </c>
      <c r="I143" t="str">
        <v>j</v>
      </c>
      <c r="J143" t="str">
        <v/>
      </c>
    </row>
    <row r="144">
      <c r="A144" t="str">
        <v>L244</v>
      </c>
      <c r="B144" t="str">
        <v>V22</v>
      </c>
      <c r="C144" t="str">
        <v>V86</v>
      </c>
      <c r="D144" t="str">
        <v>?</v>
      </c>
      <c r="E144" t="str">
        <v/>
      </c>
      <c r="F144" t="str">
        <v>Faible</v>
      </c>
      <c r="G144" t="str">
        <v>Non</v>
      </c>
      <c r="H144" t="str">
        <v/>
      </c>
      <c r="I144" t="str">
        <v>j</v>
      </c>
      <c r="J144" t="str">
        <v/>
      </c>
    </row>
    <row r="145">
      <c r="A145" t="str">
        <v>L245</v>
      </c>
      <c r="B145" t="str">
        <v>V87</v>
      </c>
      <c r="C145" t="str">
        <v>V14</v>
      </c>
      <c r="D145" t="str">
        <v>+</v>
      </c>
      <c r="E145" t="str">
        <v/>
      </c>
      <c r="F145" t="str">
        <v>Faible</v>
      </c>
      <c r="G145" t="str">
        <v>Non</v>
      </c>
      <c r="H145" t="str">
        <v/>
      </c>
      <c r="I145" t="str">
        <v>j</v>
      </c>
      <c r="J145" t="str">
        <v/>
      </c>
    </row>
    <row r="146">
      <c r="A146" t="str">
        <v>L246</v>
      </c>
      <c r="B146" t="str">
        <v>V38</v>
      </c>
      <c r="C146" t="str">
        <v>V14</v>
      </c>
      <c r="D146" t="str">
        <v>+</v>
      </c>
      <c r="E146" t="str">
        <v/>
      </c>
      <c r="F146" t="str">
        <v>Faible</v>
      </c>
      <c r="G146" t="str">
        <v>Non</v>
      </c>
      <c r="H146" t="str">
        <v/>
      </c>
      <c r="I146" t="str">
        <v>j</v>
      </c>
      <c r="J146" t="str">
        <v/>
      </c>
    </row>
    <row r="147">
      <c r="A147" t="str">
        <v>L247</v>
      </c>
      <c r="B147" t="str">
        <v>V26</v>
      </c>
      <c r="C147" t="str">
        <v>V14</v>
      </c>
      <c r="D147" t="str">
        <v>+</v>
      </c>
      <c r="E147" t="str">
        <v/>
      </c>
      <c r="F147" t="str">
        <v>Élevée</v>
      </c>
      <c r="G147" t="str">
        <v>Non</v>
      </c>
      <c r="H147" t="str">
        <v/>
      </c>
      <c r="I147" t="str">
        <v>j</v>
      </c>
      <c r="J147" t="str">
        <v/>
      </c>
    </row>
    <row r="148">
      <c r="A148" t="str">
        <v>L248</v>
      </c>
      <c r="B148" t="str">
        <v>V93</v>
      </c>
      <c r="C148" t="str">
        <v>V14</v>
      </c>
      <c r="D148" t="str">
        <v>-</v>
      </c>
      <c r="E148" t="str">
        <v/>
      </c>
      <c r="F148" t="str">
        <v>Moyenne</v>
      </c>
      <c r="G148" t="str">
        <v>Non</v>
      </c>
      <c r="H148" t="str">
        <v/>
      </c>
      <c r="I148" t="str">
        <v>j</v>
      </c>
      <c r="J148" t="str">
        <v/>
      </c>
    </row>
    <row r="149">
      <c r="A149" t="str">
        <v>L249</v>
      </c>
      <c r="B149" t="str">
        <v>V119</v>
      </c>
      <c r="C149" t="str">
        <v>V2</v>
      </c>
      <c r="D149" t="str">
        <v>-</v>
      </c>
      <c r="E149" t="str">
        <v/>
      </c>
      <c r="F149" t="str">
        <v>Moyenne</v>
      </c>
      <c r="G149" t="str">
        <v>Non</v>
      </c>
      <c r="H149" t="str">
        <v/>
      </c>
      <c r="I149" t="str">
        <v>j</v>
      </c>
      <c r="J149" t="str">
        <v/>
      </c>
    </row>
    <row r="150">
      <c r="A150" t="str">
        <v>L250</v>
      </c>
      <c r="B150" t="str">
        <v>V14</v>
      </c>
      <c r="C150" t="str">
        <v>V6</v>
      </c>
      <c r="D150" t="str">
        <v>+</v>
      </c>
      <c r="E150" t="str">
        <v/>
      </c>
      <c r="F150" t="str">
        <v>Moyenne</v>
      </c>
      <c r="G150" t="str">
        <v>Non</v>
      </c>
      <c r="H150" t="str">
        <v/>
      </c>
      <c r="I150" t="str">
        <v>j</v>
      </c>
      <c r="J150" t="str">
        <v/>
      </c>
    </row>
    <row r="151">
      <c r="A151" t="str">
        <v>L251</v>
      </c>
      <c r="B151" t="str">
        <v>V2</v>
      </c>
      <c r="C151" t="str">
        <v>V14</v>
      </c>
      <c r="D151" t="str">
        <v>-</v>
      </c>
      <c r="E151" t="str">
        <v/>
      </c>
      <c r="F151" t="str">
        <v>Moyenne</v>
      </c>
      <c r="G151" t="str">
        <v>Non</v>
      </c>
      <c r="H151" t="str">
        <v/>
      </c>
      <c r="I151" t="str">
        <v>j</v>
      </c>
      <c r="J151" t="str">
        <v/>
      </c>
    </row>
    <row r="152">
      <c r="A152" t="str">
        <v>L252</v>
      </c>
      <c r="B152" t="str">
        <v>V120</v>
      </c>
      <c r="C152" t="str">
        <v>V92</v>
      </c>
      <c r="D152" t="str">
        <v>-</v>
      </c>
      <c r="E152" t="str">
        <v/>
      </c>
      <c r="F152" t="str">
        <v>Faible</v>
      </c>
      <c r="G152" t="str">
        <v>Non</v>
      </c>
      <c r="H152" t="str">
        <v/>
      </c>
      <c r="I152" t="str">
        <v>j</v>
      </c>
      <c r="J152" t="str">
        <v/>
      </c>
    </row>
    <row r="153">
      <c r="A153" t="str">
        <v>L253</v>
      </c>
      <c r="B153" t="str">
        <v>V121</v>
      </c>
      <c r="C153" t="str">
        <v>V25</v>
      </c>
      <c r="D153" t="str">
        <v>+</v>
      </c>
      <c r="E153" t="str">
        <v/>
      </c>
      <c r="F153" t="str">
        <v>Faible</v>
      </c>
      <c r="G153" t="str">
        <v>Non</v>
      </c>
      <c r="H153" t="str">
        <v/>
      </c>
      <c r="I153" t="str">
        <v>j</v>
      </c>
      <c r="J153" t="str">
        <v/>
      </c>
    </row>
    <row r="154">
      <c r="A154" t="str">
        <v>L254</v>
      </c>
      <c r="B154" t="str">
        <v>V92</v>
      </c>
      <c r="C154" t="str">
        <v>V25</v>
      </c>
      <c r="D154" t="str">
        <v>+</v>
      </c>
      <c r="E154" t="str">
        <v/>
      </c>
      <c r="F154" t="str">
        <v>Faible</v>
      </c>
      <c r="G154" t="str">
        <v>Non</v>
      </c>
      <c r="H154" t="str">
        <v/>
      </c>
      <c r="I154" t="str">
        <v>j</v>
      </c>
      <c r="J154" t="str">
        <v/>
      </c>
    </row>
    <row r="155">
      <c r="A155" t="str">
        <v>L255</v>
      </c>
      <c r="B155" t="str">
        <v>V27</v>
      </c>
      <c r="C155" t="str">
        <v>V25</v>
      </c>
      <c r="D155" t="str">
        <v>-</v>
      </c>
      <c r="E155" t="str">
        <v/>
      </c>
      <c r="F155" t="str">
        <v>Moyenne</v>
      </c>
      <c r="G155" t="str">
        <v>Non</v>
      </c>
      <c r="H155" t="str">
        <v/>
      </c>
      <c r="I155" t="str">
        <v>j</v>
      </c>
      <c r="J155" t="str">
        <v/>
      </c>
    </row>
    <row r="156">
      <c r="A156" t="str">
        <v>L256</v>
      </c>
      <c r="B156" t="str">
        <v>V2</v>
      </c>
      <c r="C156" t="str">
        <v>V25</v>
      </c>
      <c r="D156" t="str">
        <v>+</v>
      </c>
      <c r="E156" t="str">
        <v/>
      </c>
      <c r="F156" t="str">
        <v>Faible</v>
      </c>
      <c r="G156" t="str">
        <v>Non</v>
      </c>
      <c r="H156" t="str">
        <v/>
      </c>
      <c r="I156" t="str">
        <v>j</v>
      </c>
      <c r="J156" t="str">
        <v/>
      </c>
    </row>
    <row r="157">
      <c r="A157" t="str">
        <v>L258</v>
      </c>
      <c r="B157" t="str">
        <v>V27</v>
      </c>
      <c r="C157" t="str">
        <v>V2</v>
      </c>
      <c r="D157" t="str">
        <v>+</v>
      </c>
      <c r="E157" t="str">
        <v/>
      </c>
      <c r="F157" t="str">
        <v>Moyenne</v>
      </c>
      <c r="G157" t="str">
        <v>Non</v>
      </c>
      <c r="H157" t="str">
        <v/>
      </c>
      <c r="I157" t="str">
        <v>j</v>
      </c>
      <c r="J157" t="str">
        <v/>
      </c>
    </row>
    <row r="158">
      <c r="A158" t="str">
        <v>L259</v>
      </c>
      <c r="B158" t="str">
        <v>V29</v>
      </c>
      <c r="C158" t="str">
        <v>V119</v>
      </c>
      <c r="D158" t="str">
        <v>-?</v>
      </c>
      <c r="E158" t="str">
        <v/>
      </c>
      <c r="F158" t="str">
        <v>Faible</v>
      </c>
      <c r="G158" t="str">
        <v>Non</v>
      </c>
      <c r="H158" t="str">
        <v/>
      </c>
      <c r="I158" t="str">
        <v>j</v>
      </c>
      <c r="J158" t="str">
        <v/>
      </c>
    </row>
    <row r="159">
      <c r="A159" t="str">
        <v>L260</v>
      </c>
      <c r="B159" t="str">
        <v>V27</v>
      </c>
      <c r="C159" t="str">
        <v>V19</v>
      </c>
      <c r="D159" t="str">
        <v>-</v>
      </c>
      <c r="E159" t="str">
        <v/>
      </c>
      <c r="F159" t="str">
        <v>Moyenne</v>
      </c>
      <c r="G159" t="str">
        <v>Non</v>
      </c>
      <c r="H159" t="str">
        <v/>
      </c>
      <c r="I159" t="str">
        <v>j</v>
      </c>
      <c r="J159" t="str">
        <v/>
      </c>
    </row>
    <row r="160">
      <c r="A160" t="str">
        <v>L261</v>
      </c>
      <c r="B160" t="str">
        <v>V93</v>
      </c>
      <c r="C160" t="str">
        <v>V19</v>
      </c>
      <c r="D160" t="str">
        <v>+</v>
      </c>
      <c r="E160" t="str">
        <v/>
      </c>
      <c r="F160" t="str">
        <v>Moyenne</v>
      </c>
      <c r="G160" t="str">
        <v>Non</v>
      </c>
      <c r="H160" t="str">
        <v/>
      </c>
      <c r="I160" t="str">
        <v>j</v>
      </c>
      <c r="J160" t="str">
        <v/>
      </c>
    </row>
    <row r="161">
      <c r="A161" t="str">
        <v>L262</v>
      </c>
      <c r="B161" t="str">
        <v>V122</v>
      </c>
      <c r="C161" t="str">
        <v>V112</v>
      </c>
      <c r="D161" t="str">
        <v>+?</v>
      </c>
      <c r="E161" t="str">
        <v/>
      </c>
      <c r="F161" t="str">
        <v>Faible</v>
      </c>
      <c r="G161" t="str">
        <v>Non</v>
      </c>
      <c r="H161" t="str">
        <v/>
      </c>
      <c r="I161" t="str">
        <v>j</v>
      </c>
      <c r="J161" t="str">
        <v/>
      </c>
    </row>
    <row r="162">
      <c r="A162" t="str">
        <v>L263</v>
      </c>
      <c r="B162" t="str">
        <v>V122</v>
      </c>
      <c r="C162" t="str">
        <v>V109</v>
      </c>
      <c r="D162" t="str">
        <v>+</v>
      </c>
      <c r="E162" t="str">
        <v/>
      </c>
      <c r="F162" t="str">
        <v>Faible</v>
      </c>
      <c r="G162" t="str">
        <v>Non</v>
      </c>
      <c r="H162" t="str">
        <v/>
      </c>
      <c r="I162" t="str">
        <v>j</v>
      </c>
      <c r="J162" t="str">
        <v/>
      </c>
    </row>
    <row r="163">
      <c r="A163" t="str">
        <v>L264</v>
      </c>
      <c r="B163" t="str">
        <v>V123</v>
      </c>
      <c r="C163" t="str">
        <v>V109</v>
      </c>
      <c r="D163" t="str">
        <v>+</v>
      </c>
      <c r="E163" t="str">
        <v/>
      </c>
      <c r="F163" t="str">
        <v>Faible</v>
      </c>
      <c r="G163" t="str">
        <v>Non</v>
      </c>
      <c r="H163" t="str">
        <v/>
      </c>
      <c r="I163" t="str">
        <v>j</v>
      </c>
      <c r="J163" t="str">
        <v/>
      </c>
    </row>
    <row r="164">
      <c r="A164" t="str">
        <v>L265</v>
      </c>
      <c r="B164" t="str">
        <v>V73</v>
      </c>
      <c r="C164" t="str">
        <v>V57</v>
      </c>
      <c r="D164" t="str">
        <v>?</v>
      </c>
      <c r="E164" t="str">
        <v/>
      </c>
      <c r="F164" t="str">
        <v>Moyenne</v>
      </c>
      <c r="G164" t="str">
        <v>Non</v>
      </c>
      <c r="H164" t="str">
        <v/>
      </c>
      <c r="I164" t="str">
        <v>j</v>
      </c>
      <c r="J164" t="str">
        <v/>
      </c>
    </row>
    <row r="165">
      <c r="A165" t="str">
        <v>L266</v>
      </c>
      <c r="B165" t="str">
        <v>V52</v>
      </c>
      <c r="C165" t="str">
        <v>V26</v>
      </c>
      <c r="D165" t="str">
        <v>-</v>
      </c>
      <c r="E165" t="str">
        <v/>
      </c>
      <c r="F165" t="str">
        <v>Moyenne</v>
      </c>
      <c r="G165" t="str">
        <v>Non</v>
      </c>
      <c r="H165" t="str">
        <v/>
      </c>
      <c r="I165" t="str">
        <v>j</v>
      </c>
      <c r="J165" t="str">
        <v/>
      </c>
    </row>
    <row r="166">
      <c r="A166" t="str">
        <v>L267</v>
      </c>
      <c r="B166" t="str">
        <v>V17</v>
      </c>
      <c r="C166" t="str">
        <v>V106</v>
      </c>
      <c r="D166" t="str">
        <v>+</v>
      </c>
      <c r="E166" t="str">
        <v/>
      </c>
      <c r="F166" t="str">
        <v>Faible</v>
      </c>
      <c r="G166" t="str">
        <v>Non</v>
      </c>
      <c r="H166" t="str">
        <v/>
      </c>
      <c r="I166" t="str">
        <v>j</v>
      </c>
      <c r="J166" t="str">
        <v/>
      </c>
    </row>
    <row r="167">
      <c r="A167" t="str">
        <v>L268</v>
      </c>
      <c r="B167" t="str">
        <v>V59</v>
      </c>
      <c r="C167" t="str">
        <v>V106</v>
      </c>
      <c r="D167" t="str">
        <v>+</v>
      </c>
      <c r="E167" t="str">
        <v/>
      </c>
      <c r="F167" t="str">
        <v>Faible</v>
      </c>
      <c r="G167" t="str">
        <v>Non</v>
      </c>
      <c r="H167" t="str">
        <v/>
      </c>
      <c r="I167" t="str">
        <v>j</v>
      </c>
      <c r="J167" t="str">
        <v/>
      </c>
    </row>
    <row r="168">
      <c r="A168" t="str">
        <v>L269</v>
      </c>
      <c r="B168" t="str">
        <v>V57</v>
      </c>
      <c r="C168" t="str">
        <v>V106</v>
      </c>
      <c r="D168" t="str">
        <v>-</v>
      </c>
      <c r="E168" t="str">
        <v/>
      </c>
      <c r="F168" t="str">
        <v>Faible</v>
      </c>
      <c r="G168" t="str">
        <v>Non</v>
      </c>
      <c r="H168" t="str">
        <v/>
      </c>
      <c r="I168" t="str">
        <v>j</v>
      </c>
      <c r="J168" t="str">
        <v/>
      </c>
    </row>
    <row r="169">
      <c r="A169" t="str">
        <v>L270</v>
      </c>
      <c r="B169" t="str">
        <v>V58</v>
      </c>
      <c r="C169" t="str">
        <v>V106</v>
      </c>
      <c r="D169" t="str">
        <v>-</v>
      </c>
      <c r="E169" t="str">
        <v/>
      </c>
      <c r="F169" t="str">
        <v>Faible</v>
      </c>
      <c r="G169" t="str">
        <v>Non</v>
      </c>
      <c r="H169" t="str">
        <v/>
      </c>
      <c r="I169" t="str">
        <v>j</v>
      </c>
      <c r="J169" t="str">
        <v/>
      </c>
    </row>
    <row r="170">
      <c r="A170" t="str">
        <v>L271</v>
      </c>
      <c r="B170" t="str">
        <v>V22</v>
      </c>
      <c r="C170" t="str">
        <v>V27</v>
      </c>
      <c r="D170" t="str">
        <v>-</v>
      </c>
      <c r="E170" t="str">
        <v/>
      </c>
      <c r="F170" t="str">
        <v>Moyenne</v>
      </c>
      <c r="G170" t="str">
        <v>Non</v>
      </c>
      <c r="H170" t="str">
        <v/>
      </c>
      <c r="I170" t="str">
        <v>j</v>
      </c>
      <c r="J170" t="str">
        <v/>
      </c>
    </row>
    <row r="171">
      <c r="A171" t="str">
        <v>L272</v>
      </c>
      <c r="B171" t="str">
        <v>V124</v>
      </c>
      <c r="C171" t="str">
        <v>V10</v>
      </c>
      <c r="D171" t="str">
        <v>-</v>
      </c>
      <c r="E171" t="str">
        <v/>
      </c>
      <c r="F171" t="str">
        <v>Faible</v>
      </c>
      <c r="G171" t="str">
        <v>Non</v>
      </c>
      <c r="H171" t="str">
        <v/>
      </c>
      <c r="I171" t="str">
        <v>j</v>
      </c>
      <c r="J171" t="str">
        <v/>
      </c>
    </row>
    <row r="172">
      <c r="A172" t="str">
        <v>L273</v>
      </c>
      <c r="B172" t="str">
        <v>V93</v>
      </c>
      <c r="C172" t="str">
        <v>V10</v>
      </c>
      <c r="D172" t="str">
        <v>+</v>
      </c>
      <c r="E172" t="str">
        <v/>
      </c>
      <c r="F172" t="str">
        <v>Faible</v>
      </c>
      <c r="G172" t="str">
        <v>Non</v>
      </c>
      <c r="H172" t="str">
        <v/>
      </c>
      <c r="I172" t="str">
        <v>j</v>
      </c>
      <c r="J172" t="str">
        <v/>
      </c>
    </row>
    <row r="173">
      <c r="A173" t="str">
        <v>L274</v>
      </c>
      <c r="B173" t="str">
        <v>V25</v>
      </c>
      <c r="C173" t="str">
        <v>V9</v>
      </c>
      <c r="D173" t="str">
        <v>+</v>
      </c>
      <c r="E173" t="str">
        <v/>
      </c>
      <c r="F173" t="str">
        <v>Faible</v>
      </c>
      <c r="G173" t="str">
        <v>Non</v>
      </c>
      <c r="H173" t="str">
        <v/>
      </c>
      <c r="I173" t="str">
        <v>j</v>
      </c>
      <c r="J173" t="str">
        <v/>
      </c>
    </row>
    <row r="174">
      <c r="A174" t="str">
        <v>L275</v>
      </c>
      <c r="B174" t="str">
        <v>V93</v>
      </c>
      <c r="C174" t="str">
        <v>V9</v>
      </c>
      <c r="D174" t="str">
        <v>+</v>
      </c>
      <c r="E174" t="str">
        <v/>
      </c>
      <c r="F174" t="str">
        <v>Moyenne</v>
      </c>
      <c r="G174" t="str">
        <v>Non</v>
      </c>
      <c r="H174" t="str">
        <v/>
      </c>
      <c r="I174" t="str">
        <v>j</v>
      </c>
      <c r="J174" t="str">
        <v/>
      </c>
    </row>
    <row r="175">
      <c r="A175" t="str">
        <v>L276</v>
      </c>
      <c r="B175" t="str">
        <v>V89</v>
      </c>
      <c r="C175" t="str">
        <v>V2</v>
      </c>
      <c r="D175" t="str">
        <v>-</v>
      </c>
      <c r="E175" t="str">
        <v/>
      </c>
      <c r="F175" t="str">
        <v>Moyenne</v>
      </c>
      <c r="G175" t="str">
        <v>Non</v>
      </c>
      <c r="H175" t="str">
        <v/>
      </c>
      <c r="I175" t="str">
        <v>j</v>
      </c>
      <c r="J175" t="str">
        <v/>
      </c>
    </row>
    <row r="176">
      <c r="A176" t="str">
        <v>L277</v>
      </c>
      <c r="B176" t="str">
        <v>V93</v>
      </c>
      <c r="C176" t="str">
        <v>V6</v>
      </c>
      <c r="D176" t="str">
        <v>+</v>
      </c>
      <c r="E176" t="str">
        <v/>
      </c>
      <c r="F176" t="str">
        <v>Moyenne</v>
      </c>
      <c r="G176" t="str">
        <v>Non</v>
      </c>
      <c r="H176" t="str">
        <v/>
      </c>
      <c r="I176" t="str">
        <v>j</v>
      </c>
      <c r="J176" t="str">
        <v/>
      </c>
    </row>
    <row r="177">
      <c r="A177" t="str">
        <v>L278</v>
      </c>
      <c r="B177" t="str">
        <v>V29</v>
      </c>
      <c r="C177" t="str">
        <v>V6</v>
      </c>
      <c r="D177" t="str">
        <v>+</v>
      </c>
      <c r="E177" t="str">
        <v/>
      </c>
      <c r="F177" t="str">
        <v>Moyenne</v>
      </c>
      <c r="G177" t="str">
        <v>Non</v>
      </c>
      <c r="H177" t="str">
        <v/>
      </c>
      <c r="I177" t="str">
        <v>j</v>
      </c>
      <c r="J177" t="str">
        <v/>
      </c>
    </row>
    <row r="178">
      <c r="A178" t="str">
        <v>L279</v>
      </c>
      <c r="B178" t="str">
        <v>V99</v>
      </c>
      <c r="C178" t="str">
        <v>V6</v>
      </c>
      <c r="D178" t="str">
        <v>+</v>
      </c>
      <c r="E178" t="str">
        <v/>
      </c>
      <c r="F178" t="str">
        <v>Moyenne</v>
      </c>
      <c r="G178" t="str">
        <v>Non</v>
      </c>
      <c r="H178" t="str">
        <v/>
      </c>
      <c r="I178" t="str">
        <v>j</v>
      </c>
      <c r="J178" t="str">
        <v/>
      </c>
    </row>
    <row r="179">
      <c r="A179" t="str">
        <v>L280</v>
      </c>
      <c r="B179" t="str">
        <v>V26</v>
      </c>
      <c r="C179" t="str">
        <v>V6</v>
      </c>
      <c r="D179" t="str">
        <v>-</v>
      </c>
      <c r="E179" t="str">
        <v/>
      </c>
      <c r="F179" t="str">
        <v>Moyenne</v>
      </c>
      <c r="G179" t="str">
        <v>Non</v>
      </c>
      <c r="H179" t="str">
        <v/>
      </c>
      <c r="I179" t="str">
        <v>j</v>
      </c>
      <c r="J179" t="str">
        <v/>
      </c>
    </row>
    <row r="180">
      <c r="A180" t="str">
        <v>L281</v>
      </c>
      <c r="B180" t="str">
        <v>V125</v>
      </c>
      <c r="C180" t="str">
        <v>V9</v>
      </c>
      <c r="D180" t="str">
        <v>-</v>
      </c>
      <c r="E180" t="str">
        <v/>
      </c>
      <c r="F180" t="str">
        <v>Moyenne</v>
      </c>
      <c r="G180" t="str">
        <v>Non</v>
      </c>
      <c r="H180" t="str">
        <v/>
      </c>
      <c r="I180" t="str">
        <v>j</v>
      </c>
      <c r="J180" t="str">
        <v/>
      </c>
    </row>
    <row r="181">
      <c r="A181" t="str">
        <v>L282</v>
      </c>
      <c r="B181" t="str">
        <v>V126</v>
      </c>
      <c r="C181" t="str">
        <v>V9</v>
      </c>
      <c r="D181" t="str">
        <v>+</v>
      </c>
      <c r="E181" t="str">
        <v/>
      </c>
      <c r="F181" t="str">
        <v>Moyenne</v>
      </c>
      <c r="G181" t="str">
        <v>Non</v>
      </c>
      <c r="H181" t="str">
        <v/>
      </c>
      <c r="I181" t="str">
        <v>j</v>
      </c>
      <c r="J181" t="str">
        <v/>
      </c>
    </row>
    <row r="182">
      <c r="A182" t="str">
        <v>L283</v>
      </c>
      <c r="B182" t="str">
        <v>V127</v>
      </c>
      <c r="C182" t="str">
        <v>V9</v>
      </c>
      <c r="D182" t="str">
        <v>+</v>
      </c>
      <c r="E182" t="str">
        <v/>
      </c>
      <c r="F182" t="str">
        <v>Moyenne</v>
      </c>
      <c r="G182" t="str">
        <v>Non</v>
      </c>
      <c r="H182" t="str">
        <v/>
      </c>
      <c r="I182" t="str">
        <v>j</v>
      </c>
      <c r="J182" t="str">
        <v/>
      </c>
    </row>
    <row r="183">
      <c r="A183" t="str">
        <v>L284</v>
      </c>
      <c r="B183" t="str">
        <v>V91</v>
      </c>
      <c r="C183" t="str">
        <v>V9</v>
      </c>
      <c r="D183" t="str">
        <v>+</v>
      </c>
      <c r="E183" t="str">
        <v/>
      </c>
      <c r="F183" t="str">
        <v>Moyenne</v>
      </c>
      <c r="G183" t="str">
        <v>Non</v>
      </c>
      <c r="H183" t="str">
        <v/>
      </c>
      <c r="I183" t="str">
        <v>j</v>
      </c>
      <c r="J183" t="str">
        <v/>
      </c>
    </row>
    <row r="184">
      <c r="A184" t="str">
        <v>L285</v>
      </c>
      <c r="B184" t="str">
        <v>V40</v>
      </c>
      <c r="C184" t="str">
        <v>V9</v>
      </c>
      <c r="D184" t="str">
        <v>+</v>
      </c>
      <c r="E184" t="str">
        <v/>
      </c>
      <c r="F184" t="str">
        <v>Moyenne</v>
      </c>
      <c r="G184" t="str">
        <v>Non</v>
      </c>
      <c r="H184" t="str">
        <v/>
      </c>
      <c r="I184" t="str">
        <v>j</v>
      </c>
      <c r="J184" t="str">
        <v/>
      </c>
    </row>
    <row r="185">
      <c r="A185" t="str">
        <v>L286</v>
      </c>
      <c r="B185" t="str">
        <v>V3</v>
      </c>
      <c r="C185" t="str">
        <v>V10</v>
      </c>
      <c r="D185" t="str">
        <v>+?</v>
      </c>
      <c r="E185" t="str">
        <v/>
      </c>
      <c r="F185" t="str">
        <v>Moyenne</v>
      </c>
      <c r="G185" t="str">
        <v>Non</v>
      </c>
      <c r="H185" t="str">
        <v/>
      </c>
      <c r="I185" t="str">
        <v>j</v>
      </c>
      <c r="J185" t="str">
        <v/>
      </c>
    </row>
    <row r="186">
      <c r="A186" t="str">
        <v>L287</v>
      </c>
      <c r="B186" t="str">
        <v>V16</v>
      </c>
      <c r="C186" t="str">
        <v>V94</v>
      </c>
      <c r="D186" t="str">
        <v>+</v>
      </c>
      <c r="E186" t="str">
        <v/>
      </c>
      <c r="F186" t="str">
        <v>Moyenne</v>
      </c>
      <c r="G186" t="str">
        <v>Non</v>
      </c>
      <c r="H186" t="str">
        <v/>
      </c>
      <c r="I186" t="str">
        <v>j</v>
      </c>
      <c r="J186" t="str">
        <v/>
      </c>
    </row>
    <row r="187">
      <c r="A187" t="str">
        <v>L288</v>
      </c>
      <c r="B187" t="str">
        <v>V85</v>
      </c>
      <c r="C187" t="str">
        <v>V89</v>
      </c>
      <c r="D187" t="str">
        <v>+</v>
      </c>
      <c r="E187" t="str">
        <v/>
      </c>
      <c r="F187" t="str">
        <v>Moyenne</v>
      </c>
      <c r="G187" t="str">
        <v>Non</v>
      </c>
      <c r="H187" t="str">
        <v/>
      </c>
      <c r="I187" t="str">
        <v>j</v>
      </c>
      <c r="J187" t="str">
        <v/>
      </c>
    </row>
    <row r="188">
      <c r="A188" t="str">
        <v>L289</v>
      </c>
      <c r="B188" t="str">
        <v>V90</v>
      </c>
      <c r="C188" t="str">
        <v>V85</v>
      </c>
      <c r="D188" t="str">
        <v>-</v>
      </c>
      <c r="E188" t="str">
        <v/>
      </c>
      <c r="F188" t="str">
        <v>Moyenne</v>
      </c>
      <c r="G188" t="str">
        <v>Non</v>
      </c>
      <c r="H188" t="str">
        <v/>
      </c>
      <c r="I188" t="str">
        <v>j</v>
      </c>
      <c r="J188" t="str">
        <v/>
      </c>
    </row>
    <row r="189">
      <c r="A189" t="str">
        <v>L290</v>
      </c>
      <c r="B189" t="str">
        <v>V93</v>
      </c>
      <c r="C189" t="str">
        <v>V85</v>
      </c>
      <c r="D189" t="str">
        <v>+</v>
      </c>
      <c r="E189" t="str">
        <v/>
      </c>
      <c r="F189" t="str">
        <v>Moyenne</v>
      </c>
      <c r="G189" t="str">
        <v>Non</v>
      </c>
      <c r="H189" t="str">
        <v/>
      </c>
      <c r="I189" t="str">
        <v>j</v>
      </c>
      <c r="J189" t="str">
        <v/>
      </c>
    </row>
    <row r="190">
      <c r="A190" t="str">
        <v>L291</v>
      </c>
      <c r="B190" t="str">
        <v>V19</v>
      </c>
      <c r="C190" t="str">
        <v>V2</v>
      </c>
      <c r="D190" t="str">
        <v>+</v>
      </c>
      <c r="E190" t="str">
        <v/>
      </c>
      <c r="F190" t="str">
        <v>Moyenne</v>
      </c>
      <c r="G190" t="str">
        <v>Non</v>
      </c>
      <c r="H190" t="str">
        <v/>
      </c>
      <c r="I190" t="str">
        <v>j</v>
      </c>
      <c r="J190" t="str">
        <v/>
      </c>
    </row>
    <row r="191">
      <c r="A191" t="str">
        <v>L292</v>
      </c>
      <c r="B191" t="str">
        <v>V27</v>
      </c>
      <c r="C191" t="str">
        <v>V35</v>
      </c>
      <c r="D191" t="str">
        <v>+</v>
      </c>
      <c r="E191" t="str">
        <v/>
      </c>
      <c r="F191" t="str">
        <v>Moyenne</v>
      </c>
      <c r="G191" t="str">
        <v>Non</v>
      </c>
      <c r="H191" t="str">
        <v/>
      </c>
      <c r="I191" t="str">
        <v>j</v>
      </c>
      <c r="J191" t="str">
        <v/>
      </c>
    </row>
    <row r="192">
      <c r="A192" t="str">
        <v>L293</v>
      </c>
      <c r="B192" t="str">
        <v>V2</v>
      </c>
      <c r="C192" t="str">
        <v>V35</v>
      </c>
      <c r="D192" t="str">
        <v>+</v>
      </c>
      <c r="E192" t="str">
        <v/>
      </c>
      <c r="F192" t="str">
        <v>Moyenne</v>
      </c>
      <c r="G192" t="str">
        <v>Non</v>
      </c>
      <c r="H192" t="str">
        <v/>
      </c>
      <c r="I192" t="str">
        <v>j</v>
      </c>
      <c r="J192" t="str">
        <v/>
      </c>
    </row>
    <row r="193">
      <c r="A193" t="str">
        <v>L294</v>
      </c>
      <c r="B193" t="str">
        <v>V93</v>
      </c>
      <c r="C193" t="str">
        <v>V35</v>
      </c>
      <c r="D193" t="str">
        <v>+</v>
      </c>
      <c r="E193" t="str">
        <v/>
      </c>
      <c r="F193" t="str">
        <v>Moyenne</v>
      </c>
      <c r="G193" t="str">
        <v>Non</v>
      </c>
      <c r="H193" t="str">
        <v/>
      </c>
      <c r="I193" t="str">
        <v>j</v>
      </c>
      <c r="J193" t="str">
        <v/>
      </c>
    </row>
    <row r="194">
      <c r="A194" t="str">
        <v>L295</v>
      </c>
      <c r="B194" t="str">
        <v>V115</v>
      </c>
      <c r="C194" t="str">
        <v>V94</v>
      </c>
      <c r="D194" t="str">
        <v>-</v>
      </c>
      <c r="E194" t="str">
        <v/>
      </c>
      <c r="F194" t="str">
        <v>Moyenne</v>
      </c>
      <c r="G194" t="str">
        <v>Non</v>
      </c>
      <c r="H194" t="str">
        <v/>
      </c>
      <c r="I194" t="str">
        <v>j</v>
      </c>
      <c r="J194" t="str">
        <v/>
      </c>
    </row>
  </sheetData>
  <ignoredErrors>
    <ignoredError numberStoredAsText="1" sqref="A1:J19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cols>
    <col min="1" max="1" width="22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</cols>
  <sheetData>
    <row r="1">
      <c r="A1" t="str">
        <v>Ligne</v>
      </c>
      <c r="B1" t="str">
        <v>Type d'isolant {clé: type_d_isolant}</v>
      </c>
      <c r="C1" t="str">
        <v>Forme de l'isolant {clé: forme_de_l_isolant}</v>
      </c>
      <c r="D1" t="str">
        <v>Prix unitaire isolant {clé: prix_unitaire_isolant} {var: V30}</v>
      </c>
      <c r="E1" t="str">
        <v>Epaisseur d'isolant/ossature {clé: epaisseur_d_isolant_ossature} {var: V17}</v>
      </c>
      <c r="F1" t="str">
        <v>Résistance thermique de l'isolant {clé: resistance_thermique_necessaire_de_la_paroi} {var: V115}</v>
      </c>
      <c r="G1" t="str">
        <v>Impact carbone de l'isolant {clé: impact_carbone_de_l_isolant} {var: V16}</v>
      </c>
      <c r="H1" t="str">
        <v>Classement de réaction au feu de l'isolant {clé: classement_de_reaction_au_feu_de_l_isolant} {var: V95}</v>
      </c>
      <c r="I1" t="str">
        <v>Densité de l'isolant {clé: densite_de_l_isolant} {var: V12}</v>
      </c>
    </row>
    <row r="2">
      <c r="A2" t="str">
        <v>GR 32 Revêtu Kraft 45 mm Laine de verre R = 1,4 m².K/W</v>
      </c>
      <c r="B2" t="str">
        <v>Laine de verre</v>
      </c>
      <c r="C2" t="str">
        <v>Panneau</v>
      </c>
      <c r="D2">
        <v>17.22</v>
      </c>
      <c r="E2">
        <v>45</v>
      </c>
      <c r="F2">
        <v>1.4</v>
      </c>
      <c r="G2">
        <v>1.67</v>
      </c>
      <c r="H2">
        <v>7</v>
      </c>
      <c r="I2">
        <v>25</v>
      </c>
    </row>
    <row r="3">
      <c r="A3" t="str">
        <v>GR 32 Revêtu Kraft 140 mm Laine de verre R = 4,35 m².K/W</v>
      </c>
      <c r="B3" t="str">
        <v>Laine de verre</v>
      </c>
      <c r="C3" t="str">
        <v>Panneau</v>
      </c>
      <c r="D3">
        <v>30.25</v>
      </c>
      <c r="E3">
        <v>140</v>
      </c>
      <c r="F3">
        <v>4.35</v>
      </c>
      <c r="G3">
        <v>4.34</v>
      </c>
      <c r="H3">
        <v>7</v>
      </c>
      <c r="I3">
        <v>25</v>
      </c>
    </row>
    <row r="4">
      <c r="A4" t="str">
        <v>GR 32 Roulé Revêtu Kraft 100 mm Laine de verre R = 3,15 m2.K/W</v>
      </c>
      <c r="B4" t="str">
        <v>Laine de verre</v>
      </c>
      <c r="C4" t="str">
        <v>Rouleau</v>
      </c>
      <c r="D4">
        <v>16.51</v>
      </c>
      <c r="E4">
        <v>100</v>
      </c>
      <c r="F4">
        <v>3.15</v>
      </c>
      <c r="G4">
        <v>3.42</v>
      </c>
      <c r="H4">
        <v>7</v>
      </c>
      <c r="I4">
        <v>25</v>
      </c>
    </row>
    <row r="5">
      <c r="A5" t="str">
        <v>GR 32 Roulé Revêtu Kraft 160 mm Laine de verre R = 5,00 m2.K/W</v>
      </c>
      <c r="B5" t="str">
        <v>Laine de verre</v>
      </c>
      <c r="C5" t="str">
        <v>Rouleau</v>
      </c>
      <c r="D5">
        <v>26.21</v>
      </c>
      <c r="E5">
        <v>160</v>
      </c>
      <c r="F5">
        <v>5</v>
      </c>
      <c r="G5">
        <v>5.18</v>
      </c>
      <c r="H5">
        <v>7</v>
      </c>
      <c r="I5">
        <v>25</v>
      </c>
    </row>
    <row r="6">
      <c r="A6" t="str">
        <v>Isolation en bottes de paille de 22 cm ISOL’en paille</v>
      </c>
      <c r="B6" t="str">
        <v>Paille</v>
      </c>
      <c r="C6" t="str">
        <v>Botte</v>
      </c>
      <c r="D6">
        <v>20</v>
      </c>
      <c r="E6">
        <v>220</v>
      </c>
      <c r="F6">
        <v>4.6</v>
      </c>
      <c r="G6">
        <v>3.59</v>
      </c>
      <c r="H6">
        <v>3</v>
      </c>
      <c r="I6">
        <v>105</v>
      </c>
    </row>
    <row r="7">
      <c r="A7" t="str">
        <v>Isolation en bottes de paille de 36 cm ISOL’en paille</v>
      </c>
      <c r="B7" t="str">
        <v>Paille</v>
      </c>
      <c r="C7" t="str">
        <v>Botte</v>
      </c>
      <c r="D7">
        <v>25</v>
      </c>
      <c r="E7">
        <v>360</v>
      </c>
      <c r="F7">
        <v>7.5</v>
      </c>
      <c r="G7">
        <v>6.07</v>
      </c>
      <c r="H7">
        <v>3</v>
      </c>
      <c r="I7">
        <v>105</v>
      </c>
    </row>
    <row r="8">
      <c r="A8" t="str">
        <v>Isolation en paille hachée ielo Phi pour une épaisseur de mise en œuvre comprise entre 221 mm</v>
      </c>
      <c r="B8" t="str">
        <v>Paille</v>
      </c>
      <c r="C8" t="str">
        <v>hachée</v>
      </c>
      <c r="D8">
        <v>28</v>
      </c>
      <c r="E8">
        <v>221</v>
      </c>
      <c r="F8">
        <v>4.8</v>
      </c>
      <c r="G8">
        <v>3.36</v>
      </c>
      <c r="H8">
        <v>6</v>
      </c>
      <c r="I8">
        <v>110</v>
      </c>
    </row>
    <row r="9">
      <c r="A9" t="str">
        <v>Isolation en paille hachée ielo Phi pour une épaisseur de mise en œuvre comprise entre 400 mm</v>
      </c>
      <c r="B9" t="str">
        <v>Paille</v>
      </c>
      <c r="C9" t="str">
        <v>hachée</v>
      </c>
      <c r="D9">
        <v>50</v>
      </c>
      <c r="E9">
        <v>400</v>
      </c>
      <c r="F9">
        <v>8.69</v>
      </c>
      <c r="G9">
        <v>6.12</v>
      </c>
      <c r="H9">
        <v>6</v>
      </c>
      <c r="I9">
        <v>110</v>
      </c>
    </row>
  </sheetData>
  <ignoredErrors>
    <ignoredError numberStoredAsText="1" sqref="A1:I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22.83203125" customWidth="1"/>
    <col min="2" max="2" width="20.83203125" customWidth="1"/>
    <col min="3" max="3" width="20.83203125" customWidth="1"/>
  </cols>
  <sheetData>
    <row r="1">
      <c r="A1" t="str">
        <v>Ligne</v>
      </c>
      <c r="B1" t="str">
        <v>Capacité de levage grue {clé: capacite_de_levage_grue}</v>
      </c>
      <c r="C1" t="str">
        <v>Nom du modèle {clé: nom_du_modele}</v>
      </c>
    </row>
    <row r="2">
      <c r="A2" t="str">
        <v>1</v>
      </c>
      <c r="B2">
        <v>1400</v>
      </c>
      <c r="C2" t="str">
        <v>MEDIACO MK140</v>
      </c>
    </row>
    <row r="3">
      <c r="A3" t="str">
        <v>2</v>
      </c>
      <c r="B3">
        <v>1800</v>
      </c>
      <c r="C3" t="str">
        <v>MEDIACO MK88</v>
      </c>
    </row>
    <row r="4">
      <c r="A4" t="str">
        <v>3</v>
      </c>
      <c r="B4">
        <v>1000</v>
      </c>
      <c r="C4" t="str">
        <v>MEDIACO 35T</v>
      </c>
    </row>
  </sheetData>
  <ignoredErrors>
    <ignoredError numberStoredAsText="1" sqref="A1:C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22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</cols>
  <sheetData>
    <row r="1">
      <c r="A1" t="str">
        <v>Ligne</v>
      </c>
      <c r="B1" t="str">
        <v>Disponibilité de l'isolant {clé: disponibilite_de_l_isolant} {var: V13}</v>
      </c>
      <c r="C1" t="str">
        <v>Volume d'isolant vendu annuel {clé: volume_d_isolant_vendu_annuel} {var: V81}</v>
      </c>
      <c r="D1" t="str">
        <v>intitulé Formation {clé: intitule_formation}</v>
      </c>
      <c r="E1" t="str">
        <v>Coût de formation utilisation isolant {clé: cout_operateur} {var: V70}</v>
      </c>
      <c r="F1" t="str">
        <v>Durée de validité {clé: duree_de_validite}</v>
      </c>
      <c r="G1" t="str">
        <v>coût EPI unitaire de base {clé: cout_epi_operateur} {var: V47}</v>
      </c>
      <c r="H1" t="str">
        <v>Durée d'utilisation {clé: duree_d_utilisation}</v>
      </c>
    </row>
    <row r="2">
      <c r="A2" t="str">
        <v>Laine de verre</v>
      </c>
      <c r="B2" t="str">
        <v>2*10^5</v>
      </c>
      <c r="C2">
        <v>35</v>
      </c>
      <c r="D2" t="str">
        <v>isolation FOB</v>
      </c>
      <c r="E2">
        <v>590</v>
      </c>
      <c r="F2">
        <v>4</v>
      </c>
      <c r="G2">
        <v>40</v>
      </c>
      <c r="H2">
        <v>8</v>
      </c>
    </row>
    <row r="3">
      <c r="A3" t="str">
        <v>Paille</v>
      </c>
      <c r="B3" t="str">
        <v>5*10^6</v>
      </c>
      <c r="C3">
        <v>1</v>
      </c>
      <c r="D3" t="str">
        <v>propaille</v>
      </c>
      <c r="E3">
        <v>1800</v>
      </c>
      <c r="F3">
        <v>4</v>
      </c>
      <c r="G3">
        <v>15</v>
      </c>
      <c r="H3">
        <v>8</v>
      </c>
    </row>
  </sheetData>
  <ignoredErrors>
    <ignoredError numberStoredAsText="1" sqref="A1:H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6.83203125" customWidth="1"/>
    <col min="2" max="2" width="26.83203125" customWidth="1"/>
    <col min="3" max="3" width="18.83203125" customWidth="1"/>
    <col min="4" max="4" width="22.83203125" customWidth="1"/>
    <col min="5" max="5" width="16.83203125" customWidth="1"/>
    <col min="6" max="6" width="14.83203125" customWidth="1"/>
    <col min="7" max="7" width="14.83203125" customWidth="1"/>
  </cols>
  <sheetData>
    <row r="1">
      <c r="A1" t="str">
        <v>ID</v>
      </c>
      <c r="B1" t="str">
        <v>Nom</v>
      </c>
      <c r="C1" t="str">
        <v>Tableau</v>
      </c>
      <c r="D1" t="str">
        <v>Variable source (colonne)</v>
      </c>
      <c r="E1" t="str">
        <v>Variable cible (ID du CLD)</v>
      </c>
      <c r="F1" t="str">
        <v>y quand x=min</v>
      </c>
      <c r="G1" t="str">
        <v>y quand x=max</v>
      </c>
    </row>
    <row r="2">
      <c r="A2" t="str">
        <v>F1</v>
      </c>
      <c r="B2" t="str">
        <v>Nouvelle fonction</v>
      </c>
      <c r="C2" t="str">
        <v>Isolants</v>
      </c>
      <c r="D2" t="str">
        <v>type_d_isolant</v>
      </c>
      <c r="E2" t="str">
        <v>V94</v>
      </c>
      <c r="F2">
        <v>0</v>
      </c>
      <c r="G2">
        <v>2</v>
      </c>
    </row>
  </sheetData>
  <ignoredErrors>
    <ignoredError numberStoredAsText="1" sqref="A1:G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108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Clé</v>
      </c>
      <c r="B1" t="str">
        <v>Valeur</v>
      </c>
    </row>
    <row r="2">
      <c r="A2" t="str">
        <v>Nom de l'application</v>
      </c>
      <c r="B2" t="str">
        <v>CLD Studio</v>
      </c>
    </row>
    <row r="3">
      <c r="A3" t="str">
        <v>Nom du projet</v>
      </c>
      <c r="B3" t="str">
        <v>FOB 2.0l</v>
      </c>
    </row>
    <row r="4">
      <c r="A4" t="str">
        <v>Tableau principal (sélection Ligne)</v>
      </c>
      <c r="B4" t="str">
        <v>Isolants</v>
      </c>
    </row>
    <row r="5">
      <c r="A5" t="str">
        <v>Boucle favorite</v>
      </c>
      <c r="B5" t="str">
        <v>V1&gt;V81&gt;V13&gt;V30&gt;V7&gt;V8</v>
      </c>
    </row>
    <row r="6">
      <c r="A6" t="str">
        <v>Boucle favorite</v>
      </c>
      <c r="B6" t="str">
        <v>V19&gt;V35&gt;V2</v>
      </c>
    </row>
    <row r="7">
      <c r="A7" t="str">
        <v>Boucle favorite</v>
      </c>
      <c r="B7" t="str">
        <v>V106&gt;V76&gt;V107&gt;V17</v>
      </c>
    </row>
    <row r="8">
      <c r="A8" t="str">
        <v>Boucle favorite</v>
      </c>
      <c r="B8" t="str">
        <v>V22&gt;V27</v>
      </c>
    </row>
    <row r="9">
      <c r="A9" t="str">
        <v>Variable filtre itérations</v>
      </c>
      <c r="B9" t="str">
        <v>V2</v>
      </c>
    </row>
    <row r="10">
      <c r="A10" t="str">
        <v>Variable filtre itérations</v>
      </c>
      <c r="B10" t="str">
        <v>V6</v>
      </c>
    </row>
    <row r="11">
      <c r="A11" t="str">
        <v>Variable filtre itérations</v>
      </c>
      <c r="B11" t="str">
        <v>V19</v>
      </c>
    </row>
    <row r="12">
      <c r="A12" t="str">
        <v>Variable filtre itérations</v>
      </c>
      <c r="B12" t="str">
        <v>V22</v>
      </c>
    </row>
    <row r="13">
      <c r="A13" t="str">
        <v>Variable filtre itérations</v>
      </c>
      <c r="B13" t="str">
        <v>V25</v>
      </c>
    </row>
    <row r="14">
      <c r="A14" t="str">
        <v>Variable filtre itérations</v>
      </c>
      <c r="B14" t="str">
        <v>V1</v>
      </c>
    </row>
    <row r="15">
      <c r="A15" t="str">
        <v>Variable filtre itérations</v>
      </c>
      <c r="B15" t="str">
        <v>V3</v>
      </c>
    </row>
    <row r="16">
      <c r="A16" t="str">
        <v>Variable filtre itérations</v>
      </c>
      <c r="B16" t="str">
        <v>V7</v>
      </c>
    </row>
    <row r="17">
      <c r="A17" t="str">
        <v>Variable filtre itérations</v>
      </c>
      <c r="B17" t="str">
        <v>V8</v>
      </c>
    </row>
    <row r="18">
      <c r="A18" t="str">
        <v>Variable filtre itérations</v>
      </c>
      <c r="B18" t="str">
        <v>V9</v>
      </c>
    </row>
    <row r="19">
      <c r="A19" t="str">
        <v>Variable filtre itérations</v>
      </c>
      <c r="B19" t="str">
        <v>V10</v>
      </c>
    </row>
    <row r="20">
      <c r="A20" t="str">
        <v>Variable filtre itérations</v>
      </c>
      <c r="B20" t="str">
        <v>V11</v>
      </c>
    </row>
    <row r="21">
      <c r="A21" t="str">
        <v>Variable filtre itérations</v>
      </c>
      <c r="B21" t="str">
        <v>V12</v>
      </c>
    </row>
    <row r="22">
      <c r="A22" t="str">
        <v>Variable filtre itérations</v>
      </c>
      <c r="B22" t="str">
        <v>V13</v>
      </c>
    </row>
    <row r="23">
      <c r="A23" t="str">
        <v>Variable filtre itérations</v>
      </c>
      <c r="B23" t="str">
        <v>V14</v>
      </c>
    </row>
    <row r="24">
      <c r="A24" t="str">
        <v>Variable filtre itérations</v>
      </c>
      <c r="B24" t="str">
        <v>V15</v>
      </c>
    </row>
    <row r="25">
      <c r="A25" t="str">
        <v>Variable filtre itérations</v>
      </c>
      <c r="B25" t="str">
        <v>V16</v>
      </c>
    </row>
    <row r="26">
      <c r="A26" t="str">
        <v>Variable filtre itérations</v>
      </c>
      <c r="B26" t="str">
        <v>V17</v>
      </c>
    </row>
    <row r="27">
      <c r="A27" t="str">
        <v>Variable filtre itérations</v>
      </c>
      <c r="B27" t="str">
        <v>V21</v>
      </c>
    </row>
    <row r="28">
      <c r="A28" t="str">
        <v>Variable filtre itérations</v>
      </c>
      <c r="B28" t="str">
        <v>V24</v>
      </c>
    </row>
    <row r="29">
      <c r="A29" t="str">
        <v>Variable filtre itérations</v>
      </c>
      <c r="B29" t="str">
        <v>V26</v>
      </c>
    </row>
    <row r="30">
      <c r="A30" t="str">
        <v>Variable filtre itérations</v>
      </c>
      <c r="B30" t="str">
        <v>V27</v>
      </c>
    </row>
    <row r="31">
      <c r="A31" t="str">
        <v>Variable filtre itérations</v>
      </c>
      <c r="B31" t="str">
        <v>V28</v>
      </c>
    </row>
    <row r="32">
      <c r="A32" t="str">
        <v>Variable filtre itérations</v>
      </c>
      <c r="B32" t="str">
        <v>V29</v>
      </c>
    </row>
    <row r="33">
      <c r="A33" t="str">
        <v>Variable filtre itérations</v>
      </c>
      <c r="B33" t="str">
        <v>V30</v>
      </c>
    </row>
    <row r="34">
      <c r="A34" t="str">
        <v>Variable filtre itérations</v>
      </c>
      <c r="B34" t="str">
        <v>V32</v>
      </c>
    </row>
    <row r="35">
      <c r="A35" t="str">
        <v>Variable filtre itérations</v>
      </c>
      <c r="B35" t="str">
        <v>V33</v>
      </c>
    </row>
    <row r="36">
      <c r="A36" t="str">
        <v>Variable filtre itérations</v>
      </c>
      <c r="B36" t="str">
        <v>V34</v>
      </c>
    </row>
    <row r="37">
      <c r="A37" t="str">
        <v>Variable filtre itérations</v>
      </c>
      <c r="B37" t="str">
        <v>V35</v>
      </c>
    </row>
    <row r="38">
      <c r="A38" t="str">
        <v>Variable filtre itérations</v>
      </c>
      <c r="B38" t="str">
        <v>V36</v>
      </c>
    </row>
    <row r="39">
      <c r="A39" t="str">
        <v>Variable filtre itérations</v>
      </c>
      <c r="B39" t="str">
        <v>V38</v>
      </c>
    </row>
    <row r="40">
      <c r="A40" t="str">
        <v>Variable filtre itérations</v>
      </c>
      <c r="B40" t="str">
        <v>V39</v>
      </c>
    </row>
    <row r="41">
      <c r="A41" t="str">
        <v>Variable filtre itérations</v>
      </c>
      <c r="B41" t="str">
        <v>V40</v>
      </c>
    </row>
    <row r="42">
      <c r="A42" t="str">
        <v>Variable filtre itérations</v>
      </c>
      <c r="B42" t="str">
        <v>V41</v>
      </c>
    </row>
    <row r="43">
      <c r="A43" t="str">
        <v>Variable filtre itérations</v>
      </c>
      <c r="B43" t="str">
        <v>V42</v>
      </c>
    </row>
    <row r="44">
      <c r="A44" t="str">
        <v>Variable filtre itérations</v>
      </c>
      <c r="B44" t="str">
        <v>V45</v>
      </c>
    </row>
    <row r="45">
      <c r="A45" t="str">
        <v>Variable filtre itérations</v>
      </c>
      <c r="B45" t="str">
        <v>V47</v>
      </c>
    </row>
    <row r="46">
      <c r="A46" t="str">
        <v>Variable filtre itérations</v>
      </c>
      <c r="B46" t="str">
        <v>V50</v>
      </c>
    </row>
    <row r="47">
      <c r="A47" t="str">
        <v>Variable filtre itérations</v>
      </c>
      <c r="B47" t="str">
        <v>V52</v>
      </c>
    </row>
    <row r="48">
      <c r="A48" t="str">
        <v>Variable filtre itérations</v>
      </c>
      <c r="B48" t="str">
        <v>V56</v>
      </c>
    </row>
    <row r="49">
      <c r="A49" t="str">
        <v>Variable filtre itérations</v>
      </c>
      <c r="B49" t="str">
        <v>V57</v>
      </c>
    </row>
    <row r="50">
      <c r="A50" t="str">
        <v>Variable filtre itérations</v>
      </c>
      <c r="B50" t="str">
        <v>V58</v>
      </c>
    </row>
    <row r="51">
      <c r="A51" t="str">
        <v>Variable filtre itérations</v>
      </c>
      <c r="B51" t="str">
        <v>V59</v>
      </c>
    </row>
    <row r="52">
      <c r="A52" t="str">
        <v>Variable filtre itérations</v>
      </c>
      <c r="B52" t="str">
        <v>V60</v>
      </c>
    </row>
    <row r="53">
      <c r="A53" t="str">
        <v>Variable filtre itérations</v>
      </c>
      <c r="B53" t="str">
        <v>V61</v>
      </c>
    </row>
    <row r="54">
      <c r="A54" t="str">
        <v>Variable filtre itérations</v>
      </c>
      <c r="B54" t="str">
        <v>V62</v>
      </c>
    </row>
    <row r="55">
      <c r="A55" t="str">
        <v>Variable filtre itérations</v>
      </c>
      <c r="B55" t="str">
        <v>V66</v>
      </c>
    </row>
    <row r="56">
      <c r="A56" t="str">
        <v>Variable filtre itérations</v>
      </c>
      <c r="B56" t="str">
        <v>V70</v>
      </c>
    </row>
    <row r="57">
      <c r="A57" t="str">
        <v>Variable filtre itérations</v>
      </c>
      <c r="B57" t="str">
        <v>V71</v>
      </c>
    </row>
    <row r="58">
      <c r="A58" t="str">
        <v>Variable filtre itérations</v>
      </c>
      <c r="B58" t="str">
        <v>V72</v>
      </c>
    </row>
    <row r="59">
      <c r="A59" t="str">
        <v>Variable filtre itérations</v>
      </c>
      <c r="B59" t="str">
        <v>V73</v>
      </c>
    </row>
    <row r="60">
      <c r="A60" t="str">
        <v>Variable filtre itérations</v>
      </c>
      <c r="B60" t="str">
        <v>V74</v>
      </c>
    </row>
    <row r="61">
      <c r="A61" t="str">
        <v>Variable filtre itérations</v>
      </c>
      <c r="B61" t="str">
        <v>V75</v>
      </c>
    </row>
    <row r="62">
      <c r="A62" t="str">
        <v>Variable filtre itérations</v>
      </c>
      <c r="B62" t="str">
        <v>V76</v>
      </c>
    </row>
    <row r="63">
      <c r="A63" t="str">
        <v>Variable filtre itérations</v>
      </c>
      <c r="B63" t="str">
        <v>V77</v>
      </c>
    </row>
    <row r="64">
      <c r="A64" t="str">
        <v>Variable filtre itérations</v>
      </c>
      <c r="B64" t="str">
        <v>V78</v>
      </c>
    </row>
    <row r="65">
      <c r="A65" t="str">
        <v>Variable filtre itérations</v>
      </c>
      <c r="B65" t="str">
        <v>V79</v>
      </c>
    </row>
    <row r="66">
      <c r="A66" t="str">
        <v>Variable filtre itérations</v>
      </c>
      <c r="B66" t="str">
        <v>V81</v>
      </c>
    </row>
    <row r="67">
      <c r="A67" t="str">
        <v>Variable filtre itérations</v>
      </c>
      <c r="B67" t="str">
        <v>V85</v>
      </c>
    </row>
    <row r="68">
      <c r="A68" t="str">
        <v>Variable filtre itérations</v>
      </c>
      <c r="B68" t="str">
        <v>V86</v>
      </c>
    </row>
    <row r="69">
      <c r="A69" t="str">
        <v>Variable filtre itérations</v>
      </c>
      <c r="B69" t="str">
        <v>V87</v>
      </c>
    </row>
    <row r="70">
      <c r="A70" t="str">
        <v>Variable filtre itérations</v>
      </c>
      <c r="B70" t="str">
        <v>V89</v>
      </c>
    </row>
    <row r="71">
      <c r="A71" t="str">
        <v>Variable filtre itérations</v>
      </c>
      <c r="B71" t="str">
        <v>V90</v>
      </c>
    </row>
    <row r="72">
      <c r="A72" t="str">
        <v>Variable filtre itérations</v>
      </c>
      <c r="B72" t="str">
        <v>V91</v>
      </c>
    </row>
    <row r="73">
      <c r="A73" t="str">
        <v>Variable filtre itérations</v>
      </c>
      <c r="B73" t="str">
        <v>V92</v>
      </c>
    </row>
    <row r="74">
      <c r="A74" t="str">
        <v>Variable filtre itérations</v>
      </c>
      <c r="B74" t="str">
        <v>V93</v>
      </c>
    </row>
    <row r="75">
      <c r="A75" t="str">
        <v>Variable filtre itérations</v>
      </c>
      <c r="B75" t="str">
        <v>V94</v>
      </c>
    </row>
    <row r="76">
      <c r="A76" t="str">
        <v>Variable filtre itérations</v>
      </c>
      <c r="B76" t="str">
        <v>V95</v>
      </c>
    </row>
    <row r="77">
      <c r="A77" t="str">
        <v>Variable filtre itérations</v>
      </c>
      <c r="B77" t="str">
        <v>V96</v>
      </c>
    </row>
    <row r="78">
      <c r="A78" t="str">
        <v>Variable filtre itérations</v>
      </c>
      <c r="B78" t="str">
        <v>V97</v>
      </c>
    </row>
    <row r="79">
      <c r="A79" t="str">
        <v>Variable filtre itérations</v>
      </c>
      <c r="B79" t="str">
        <v>V98</v>
      </c>
    </row>
    <row r="80">
      <c r="A80" t="str">
        <v>Variable filtre itérations</v>
      </c>
      <c r="B80" t="str">
        <v>V99</v>
      </c>
    </row>
    <row r="81">
      <c r="A81" t="str">
        <v>Variable filtre itérations</v>
      </c>
      <c r="B81" t="str">
        <v>V100</v>
      </c>
    </row>
    <row r="82">
      <c r="A82" t="str">
        <v>Variable filtre itérations</v>
      </c>
      <c r="B82" t="str">
        <v>V101</v>
      </c>
    </row>
    <row r="83">
      <c r="A83" t="str">
        <v>Variable filtre itérations</v>
      </c>
      <c r="B83" t="str">
        <v>V102</v>
      </c>
    </row>
    <row r="84">
      <c r="A84" t="str">
        <v>Variable filtre itérations</v>
      </c>
      <c r="B84" t="str">
        <v>V103</v>
      </c>
    </row>
    <row r="85">
      <c r="A85" t="str">
        <v>Variable filtre itérations</v>
      </c>
      <c r="B85" t="str">
        <v>V104</v>
      </c>
    </row>
    <row r="86">
      <c r="A86" t="str">
        <v>Variable filtre itérations</v>
      </c>
      <c r="B86" t="str">
        <v>V105</v>
      </c>
    </row>
    <row r="87">
      <c r="A87" t="str">
        <v>Variable filtre itérations</v>
      </c>
      <c r="B87" t="str">
        <v>V106</v>
      </c>
    </row>
    <row r="88">
      <c r="A88" t="str">
        <v>Variable filtre itérations</v>
      </c>
      <c r="B88" t="str">
        <v>V107</v>
      </c>
    </row>
    <row r="89">
      <c r="A89" t="str">
        <v>Variable filtre itérations</v>
      </c>
      <c r="B89" t="str">
        <v>V108</v>
      </c>
    </row>
    <row r="90">
      <c r="A90" t="str">
        <v>Variable filtre itérations</v>
      </c>
      <c r="B90" t="str">
        <v>V109</v>
      </c>
    </row>
    <row r="91">
      <c r="A91" t="str">
        <v>Variable filtre itérations</v>
      </c>
      <c r="B91" t="str">
        <v>V110</v>
      </c>
    </row>
    <row r="92">
      <c r="A92" t="str">
        <v>Variable filtre itérations</v>
      </c>
      <c r="B92" t="str">
        <v>V111</v>
      </c>
    </row>
    <row r="93">
      <c r="A93" t="str">
        <v>Variable filtre itérations</v>
      </c>
      <c r="B93" t="str">
        <v>V112</v>
      </c>
    </row>
    <row r="94">
      <c r="A94" t="str">
        <v>Variable filtre itérations</v>
      </c>
      <c r="B94" t="str">
        <v>V113</v>
      </c>
    </row>
    <row r="95">
      <c r="A95" t="str">
        <v>Variable filtre itérations</v>
      </c>
      <c r="B95" t="str">
        <v>V114</v>
      </c>
    </row>
    <row r="96">
      <c r="A96" t="str">
        <v>Variable filtre itérations</v>
      </c>
      <c r="B96" t="str">
        <v>V115</v>
      </c>
    </row>
    <row r="97">
      <c r="A97" t="str">
        <v>Variable filtre itérations</v>
      </c>
      <c r="B97" t="str">
        <v>V116</v>
      </c>
    </row>
    <row r="98">
      <c r="A98" t="str">
        <v>Variable filtre itérations</v>
      </c>
      <c r="B98" t="str">
        <v>V117</v>
      </c>
    </row>
    <row r="99">
      <c r="A99" t="str">
        <v>Variable filtre itérations</v>
      </c>
      <c r="B99" t="str">
        <v>V118</v>
      </c>
    </row>
    <row r="100">
      <c r="A100" t="str">
        <v>Variable filtre itérations</v>
      </c>
      <c r="B100" t="str">
        <v>V119</v>
      </c>
    </row>
    <row r="101">
      <c r="A101" t="str">
        <v>Variable filtre itérations</v>
      </c>
      <c r="B101" t="str">
        <v>V120</v>
      </c>
    </row>
    <row r="102">
      <c r="A102" t="str">
        <v>Variable filtre itérations</v>
      </c>
      <c r="B102" t="str">
        <v>V121</v>
      </c>
    </row>
    <row r="103">
      <c r="A103" t="str">
        <v>Variable filtre itérations</v>
      </c>
      <c r="B103" t="str">
        <v>V122</v>
      </c>
    </row>
    <row r="104">
      <c r="A104" t="str">
        <v>Variable filtre itérations</v>
      </c>
      <c r="B104" t="str">
        <v>V123</v>
      </c>
    </row>
    <row r="105">
      <c r="A105" t="str">
        <v>Variable filtre itérations</v>
      </c>
      <c r="B105" t="str">
        <v>V124</v>
      </c>
    </row>
    <row r="106">
      <c r="A106" t="str">
        <v>Variable filtre itérations</v>
      </c>
      <c r="B106" t="str">
        <v>V125</v>
      </c>
    </row>
    <row r="107">
      <c r="A107" t="str">
        <v>Variable filtre itérations</v>
      </c>
      <c r="B107" t="str">
        <v>V126</v>
      </c>
    </row>
    <row r="108">
      <c r="A108" t="str">
        <v>Variable filtre itérations</v>
      </c>
      <c r="B108" t="str">
        <v>V127</v>
      </c>
    </row>
  </sheetData>
  <ignoredErrors>
    <ignoredError numberStoredAsText="1" sqref="A1:B1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Variables</vt:lpstr>
      <vt:lpstr>Liens</vt:lpstr>
      <vt:lpstr>Données - Isolants</vt:lpstr>
      <vt:lpstr>Données - Abaque grue</vt:lpstr>
      <vt:lpstr>Données - Données isolant</vt:lpstr>
      <vt:lpstr>Fonctions</vt:lpstr>
      <vt:lpstr>Projet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